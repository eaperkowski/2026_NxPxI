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2026_NxPxI/hoagland_recipes/"/>
    </mc:Choice>
  </mc:AlternateContent>
  <xr:revisionPtr revIDLastSave="0" documentId="13_ncr:1_{D888E940-763C-9943-BEE1-3DD6F9B567A0}" xr6:coauthVersionLast="47" xr6:coauthVersionMax="47" xr10:uidLastSave="{00000000-0000-0000-0000-000000000000}"/>
  <bookViews>
    <workbookView xWindow="3700" yWindow="600" windowWidth="52660" windowHeight="28200" xr2:uid="{14BE3D62-3C9F-4C41-A865-509AFA0551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6" i="1" l="1"/>
  <c r="L16" i="1"/>
  <c r="M16" i="1"/>
  <c r="N16" i="1"/>
  <c r="O16" i="1"/>
  <c r="P16" i="1"/>
  <c r="L15" i="1"/>
  <c r="M15" i="1"/>
  <c r="N15" i="1"/>
  <c r="O15" i="1"/>
  <c r="P15" i="1"/>
  <c r="K15" i="1"/>
  <c r="L46" i="1" l="1"/>
  <c r="M46" i="1"/>
  <c r="N46" i="1"/>
  <c r="O46" i="1"/>
  <c r="P46" i="1"/>
  <c r="L47" i="1"/>
  <c r="M47" i="1"/>
  <c r="N47" i="1"/>
  <c r="O47" i="1"/>
  <c r="P47" i="1"/>
  <c r="K47" i="1"/>
  <c r="K46" i="1"/>
  <c r="K35" i="1" l="1"/>
  <c r="N4" i="1"/>
  <c r="K5" i="1"/>
  <c r="L5" i="1"/>
  <c r="M5" i="1"/>
  <c r="N5" i="1"/>
  <c r="O5" i="1"/>
  <c r="P5" i="1"/>
  <c r="K6" i="1"/>
  <c r="L6" i="1"/>
  <c r="M6" i="1"/>
  <c r="N6" i="1"/>
  <c r="O6" i="1"/>
  <c r="P6" i="1"/>
  <c r="K7" i="1"/>
  <c r="L7" i="1"/>
  <c r="M7" i="1"/>
  <c r="N7" i="1"/>
  <c r="O7" i="1"/>
  <c r="P7" i="1"/>
  <c r="K8" i="1"/>
  <c r="L8" i="1"/>
  <c r="M8" i="1"/>
  <c r="N8" i="1"/>
  <c r="O8" i="1"/>
  <c r="P8" i="1"/>
  <c r="K9" i="1"/>
  <c r="L9" i="1"/>
  <c r="M9" i="1"/>
  <c r="N9" i="1"/>
  <c r="O9" i="1"/>
  <c r="P9" i="1"/>
  <c r="K10" i="1"/>
  <c r="L10" i="1"/>
  <c r="M10" i="1"/>
  <c r="N10" i="1"/>
  <c r="O10" i="1"/>
  <c r="P10" i="1"/>
  <c r="K11" i="1"/>
  <c r="L11" i="1"/>
  <c r="M11" i="1"/>
  <c r="N11" i="1"/>
  <c r="O11" i="1"/>
  <c r="P11" i="1"/>
  <c r="K12" i="1"/>
  <c r="L12" i="1"/>
  <c r="M12" i="1"/>
  <c r="N12" i="1"/>
  <c r="O12" i="1"/>
  <c r="P12" i="1"/>
  <c r="K13" i="1"/>
  <c r="L13" i="1"/>
  <c r="M13" i="1"/>
  <c r="N13" i="1"/>
  <c r="O13" i="1"/>
  <c r="P13" i="1"/>
  <c r="K14" i="1"/>
  <c r="L14" i="1"/>
  <c r="M14" i="1"/>
  <c r="N14" i="1"/>
  <c r="O14" i="1"/>
  <c r="P14" i="1"/>
  <c r="L4" i="1"/>
  <c r="M4" i="1"/>
  <c r="O4" i="1"/>
  <c r="P4" i="1"/>
  <c r="K4" i="1"/>
  <c r="P45" i="1"/>
  <c r="O45" i="1"/>
  <c r="N45" i="1"/>
  <c r="M45" i="1"/>
  <c r="L45" i="1"/>
  <c r="K45" i="1"/>
  <c r="P44" i="1"/>
  <c r="O44" i="1"/>
  <c r="N44" i="1"/>
  <c r="M44" i="1"/>
  <c r="L44" i="1"/>
  <c r="K44" i="1"/>
  <c r="P43" i="1"/>
  <c r="O43" i="1"/>
  <c r="N43" i="1"/>
  <c r="M43" i="1"/>
  <c r="L43" i="1"/>
  <c r="K43" i="1"/>
  <c r="P42" i="1"/>
  <c r="O42" i="1"/>
  <c r="N42" i="1"/>
  <c r="M42" i="1"/>
  <c r="L42" i="1"/>
  <c r="K42" i="1"/>
  <c r="P41" i="1"/>
  <c r="O41" i="1"/>
  <c r="N41" i="1"/>
  <c r="M41" i="1"/>
  <c r="L41" i="1"/>
  <c r="K41" i="1"/>
  <c r="P40" i="1"/>
  <c r="O40" i="1"/>
  <c r="N40" i="1"/>
  <c r="M40" i="1"/>
  <c r="L40" i="1"/>
  <c r="K40" i="1"/>
  <c r="P39" i="1"/>
  <c r="O39" i="1"/>
  <c r="N39" i="1"/>
  <c r="M39" i="1"/>
  <c r="L39" i="1"/>
  <c r="K39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</calcChain>
</file>

<file path=xl/sharedStrings.xml><?xml version="1.0" encoding="utf-8"?>
<sst xmlns="http://schemas.openxmlformats.org/spreadsheetml/2006/main" count="115" uniqueCount="29">
  <si>
    <t>0 ppm P</t>
  </si>
  <si>
    <t>7.75 ppm P</t>
  </si>
  <si>
    <t>15.5 ppm P</t>
  </si>
  <si>
    <t>31.0 ppm P</t>
  </si>
  <si>
    <t>62.0 ppm P</t>
  </si>
  <si>
    <t>93.0 ppm P</t>
  </si>
  <si>
    <t>10% Fe-EDTA</t>
  </si>
  <si>
    <t>Trace elements</t>
  </si>
  <si>
    <t>1M KCl</t>
  </si>
  <si>
    <t>Compound</t>
  </si>
  <si>
    <t>(mL per L)</t>
  </si>
  <si>
    <t>Expected pH</t>
  </si>
  <si>
    <t>(mL per 20 L)</t>
  </si>
  <si>
    <r>
      <t>1M NH</t>
    </r>
    <r>
      <rPr>
        <b/>
        <vertAlign val="subscript"/>
        <sz val="12"/>
        <color theme="1"/>
        <rFont val="Calibri"/>
        <family val="2"/>
      </rPr>
      <t>4</t>
    </r>
    <r>
      <rPr>
        <b/>
        <sz val="12"/>
        <color theme="1"/>
        <rFont val="Calibri"/>
        <family val="2"/>
      </rPr>
      <t>H</t>
    </r>
    <r>
      <rPr>
        <b/>
        <vertAlign val="sub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PO</t>
    </r>
    <r>
      <rPr>
        <b/>
        <vertAlign val="subscript"/>
        <sz val="12"/>
        <color theme="1"/>
        <rFont val="Calibri"/>
        <family val="2"/>
      </rPr>
      <t>4</t>
    </r>
  </si>
  <si>
    <r>
      <t>2M KNO</t>
    </r>
    <r>
      <rPr>
        <b/>
        <vertAlign val="subscript"/>
        <sz val="12"/>
        <color theme="1"/>
        <rFont val="Calibri"/>
        <family val="2"/>
      </rPr>
      <t>3</t>
    </r>
  </si>
  <si>
    <r>
      <t>2M Ca(NO</t>
    </r>
    <r>
      <rPr>
        <b/>
        <vertAlign val="subscript"/>
        <sz val="12"/>
        <color theme="1"/>
        <rFont val="Calibri"/>
        <family val="2"/>
      </rPr>
      <t>3</t>
    </r>
    <r>
      <rPr>
        <b/>
        <sz val="12"/>
        <color theme="1"/>
        <rFont val="Calibri"/>
        <family val="2"/>
      </rPr>
      <t>)</t>
    </r>
    <r>
      <rPr>
        <b/>
        <vertAlign val="sub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 xml:space="preserve"> * 4 H</t>
    </r>
    <r>
      <rPr>
        <b/>
        <vertAlign val="sub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O</t>
    </r>
  </si>
  <si>
    <r>
      <t>1M NH</t>
    </r>
    <r>
      <rPr>
        <b/>
        <vertAlign val="subscript"/>
        <sz val="12"/>
        <color theme="1"/>
        <rFont val="Calibri"/>
        <family val="2"/>
      </rPr>
      <t>4</t>
    </r>
    <r>
      <rPr>
        <b/>
        <sz val="12"/>
        <color theme="1"/>
        <rFont val="Calibri"/>
        <family val="2"/>
      </rPr>
      <t>NO</t>
    </r>
    <r>
      <rPr>
        <b/>
        <vertAlign val="subscript"/>
        <sz val="12"/>
        <color theme="1"/>
        <rFont val="Calibri"/>
        <family val="2"/>
      </rPr>
      <t>3</t>
    </r>
  </si>
  <si>
    <r>
      <t>1M KH</t>
    </r>
    <r>
      <rPr>
        <b/>
        <vertAlign val="sub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PO</t>
    </r>
    <r>
      <rPr>
        <b/>
        <vertAlign val="subscript"/>
        <sz val="12"/>
        <color theme="1"/>
        <rFont val="Calibri"/>
        <family val="2"/>
      </rPr>
      <t>4</t>
    </r>
  </si>
  <si>
    <r>
      <t>1M CaCO</t>
    </r>
    <r>
      <rPr>
        <b/>
        <vertAlign val="subscript"/>
        <sz val="12"/>
        <color theme="1"/>
        <rFont val="Calibri"/>
        <family val="2"/>
      </rPr>
      <t>3</t>
    </r>
  </si>
  <si>
    <r>
      <t>1M CaCl</t>
    </r>
    <r>
      <rPr>
        <b/>
        <vertAlign val="subscript"/>
        <sz val="12"/>
        <color theme="1"/>
        <rFont val="Calibri"/>
        <family val="2"/>
      </rPr>
      <t>2</t>
    </r>
  </si>
  <si>
    <r>
      <t>2M MgSO</t>
    </r>
    <r>
      <rPr>
        <b/>
        <vertAlign val="subscript"/>
        <sz val="12"/>
        <color theme="1"/>
        <rFont val="Calibri"/>
        <family val="2"/>
      </rPr>
      <t>4</t>
    </r>
    <r>
      <rPr>
        <b/>
        <sz val="12"/>
        <color theme="1"/>
        <rFont val="Calibri"/>
        <family val="2"/>
      </rPr>
      <t xml:space="preserve"> * 7 H</t>
    </r>
    <r>
      <rPr>
        <b/>
        <vertAlign val="sub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O</t>
    </r>
  </si>
  <si>
    <r>
      <t>NH</t>
    </r>
    <r>
      <rPr>
        <b/>
        <vertAlign val="subscript"/>
        <sz val="12"/>
        <color theme="1"/>
        <rFont val="Calibri"/>
        <family val="2"/>
      </rPr>
      <t>4</t>
    </r>
    <r>
      <rPr>
        <b/>
        <sz val="12"/>
        <color theme="1"/>
        <rFont val="Calibri"/>
        <family val="2"/>
      </rPr>
      <t>:NO</t>
    </r>
    <r>
      <rPr>
        <b/>
        <vertAlign val="subscript"/>
        <sz val="12"/>
        <color theme="1"/>
        <rFont val="Calibri"/>
        <family val="2"/>
      </rPr>
      <t>3</t>
    </r>
    <r>
      <rPr>
        <b/>
        <sz val="12"/>
        <color theme="1"/>
        <rFont val="Calibri"/>
        <family val="2"/>
      </rPr>
      <t xml:space="preserve"> ratio</t>
    </r>
  </si>
  <si>
    <t>NxPxI Greenhouse Experiment Hoagland's Solutions: 70 ppm N</t>
  </si>
  <si>
    <t>NxPxI Greenhouse Experiment Hoagland's Solutions: 70 ppm N batch</t>
  </si>
  <si>
    <t>NxPxI Greenhouse Experiment Hoagland's Solutions: 210 ppm N</t>
  </si>
  <si>
    <t>NxPxI Greenhouse Experiment Hoagland's Solutions: 210 ppm N batch</t>
  </si>
  <si>
    <t>46.5 ppm P</t>
  </si>
  <si>
    <t>*note: Fe-EDTA precipitates at pH 6.5. Must keep pH as close to 6.0 as possible across treatments</t>
  </si>
  <si>
    <t>**note: replacing 93 ppm P with 46.5 ppm P to help issue with standardizing NH4:NO3 ratio at 93 ppm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</si>
</sst>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0"/>
      <color theme="1"/>
      <name val="Calibri"/>
      <family val="2"/>
    </font>
    <font>
      <b/>
      <vertAlign val="subscript"/>
      <sz val="12"/>
      <color theme="1"/>
      <name val="Calibri"/>
      <family val="2"/>
    </font>
    <font>
      <b/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Fill="1" applyBorder="1"/>
    <xf numFmtId="0" fontId="1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5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164" fontId="3" fillId="0" borderId="5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Fill="1" applyBorder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4" xfId="0" applyFont="1" applyBorder="1" applyAlignment="1">
      <alignment horizontal="left" vertical="center"/>
    </xf>
    <xf numFmtId="0" fontId="3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3" xfId="0" applyFont="1" applyFill="1" applyBorder="1"/>
    <xf numFmtId="2" fontId="3" fillId="2" borderId="3" xfId="0" applyNumberFormat="1" applyFont="1" applyFill="1" applyBorder="1" applyAlignment="1">
      <alignment horizontal="center"/>
    </xf>
    <xf numFmtId="0" fontId="4" fillId="0" borderId="5" xfId="0" applyFont="1" applyBorder="1"/>
    <xf numFmtId="0" fontId="3" fillId="0" borderId="5" xfId="0" applyNumberFormat="1" applyFont="1" applyBorder="1" applyAlignment="1">
      <alignment horizontal="center"/>
    </xf>
    <xf numFmtId="0" fontId="4" fillId="0" borderId="5" xfId="0" applyFont="1" applyFill="1" applyBorder="1"/>
    <xf numFmtId="0" fontId="4" fillId="0" borderId="3" xfId="0" applyFont="1" applyBorder="1"/>
    <xf numFmtId="0" fontId="4" fillId="0" borderId="7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ECE7-3D09-754C-B8AC-43772B889769}">
  <sheetPr>
    <pageSetUpPr fitToPage="1"/>
  </sheetPr>
  <dimension ref="A1:P93"/>
  <sheetViews>
    <sheetView tabSelected="1" zoomScale="207" workbookViewId="0">
      <selection activeCell="F6" sqref="F6"/>
    </sheetView>
  </sheetViews>
  <sheetFormatPr baseColWidth="10" defaultRowHeight="16" x14ac:dyDescent="0.2"/>
  <cols>
    <col min="1" max="1" width="18.6640625" bestFit="1" customWidth="1"/>
    <col min="2" max="6" width="11.6640625" customWidth="1"/>
    <col min="7" max="7" width="11.6640625" bestFit="1" customWidth="1"/>
    <col min="10" max="10" width="18.6640625" customWidth="1"/>
    <col min="11" max="11" width="11.5" customWidth="1"/>
    <col min="12" max="16" width="11.6640625" customWidth="1"/>
  </cols>
  <sheetData>
    <row r="1" spans="1:16" ht="24" x14ac:dyDescent="0.3">
      <c r="A1" s="29" t="s">
        <v>22</v>
      </c>
      <c r="B1" s="29"/>
      <c r="C1" s="29"/>
      <c r="D1" s="29"/>
      <c r="E1" s="29"/>
      <c r="F1" s="29"/>
      <c r="G1" s="29"/>
      <c r="J1" s="29" t="s">
        <v>23</v>
      </c>
      <c r="K1" s="29"/>
      <c r="L1" s="29"/>
      <c r="M1" s="29"/>
      <c r="N1" s="29"/>
      <c r="O1" s="29"/>
      <c r="P1" s="29"/>
    </row>
    <row r="2" spans="1:16" x14ac:dyDescent="0.2">
      <c r="A2" s="19"/>
      <c r="B2" s="21" t="s">
        <v>0</v>
      </c>
      <c r="C2" s="21" t="s">
        <v>1</v>
      </c>
      <c r="D2" s="21" t="s">
        <v>2</v>
      </c>
      <c r="E2" s="21" t="s">
        <v>3</v>
      </c>
      <c r="F2" s="21" t="s">
        <v>26</v>
      </c>
      <c r="G2" s="21" t="s">
        <v>4</v>
      </c>
      <c r="J2" s="19" t="s">
        <v>9</v>
      </c>
      <c r="K2" s="21" t="s">
        <v>0</v>
      </c>
      <c r="L2" s="21" t="s">
        <v>1</v>
      </c>
      <c r="M2" s="21" t="s">
        <v>2</v>
      </c>
      <c r="N2" s="21" t="s">
        <v>3</v>
      </c>
      <c r="O2" s="21" t="s">
        <v>26</v>
      </c>
      <c r="P2" s="21" t="s">
        <v>4</v>
      </c>
    </row>
    <row r="3" spans="1:16" ht="17" thickBot="1" x14ac:dyDescent="0.25">
      <c r="A3" s="28"/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J3" s="28"/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</row>
    <row r="4" spans="1:16" ht="18" x14ac:dyDescent="0.25">
      <c r="A4" s="27" t="s">
        <v>13</v>
      </c>
      <c r="B4" s="20">
        <v>0</v>
      </c>
      <c r="C4" s="20">
        <v>0</v>
      </c>
      <c r="D4" s="20">
        <v>0</v>
      </c>
      <c r="E4" s="5">
        <v>0.4</v>
      </c>
      <c r="F4" s="5">
        <v>0.4</v>
      </c>
      <c r="G4" s="5">
        <v>0.4</v>
      </c>
      <c r="J4" s="27" t="s">
        <v>13</v>
      </c>
      <c r="K4" s="20">
        <f>B4*20</f>
        <v>0</v>
      </c>
      <c r="L4" s="20">
        <f t="shared" ref="L4:P4" si="0">C4*20</f>
        <v>0</v>
      </c>
      <c r="M4" s="20">
        <f t="shared" si="0"/>
        <v>0</v>
      </c>
      <c r="N4" s="20">
        <f>E4*20</f>
        <v>8</v>
      </c>
      <c r="O4" s="20">
        <f t="shared" si="0"/>
        <v>8</v>
      </c>
      <c r="P4" s="20">
        <f t="shared" si="0"/>
        <v>8</v>
      </c>
    </row>
    <row r="5" spans="1:16" ht="18" x14ac:dyDescent="0.25">
      <c r="A5" s="18" t="s">
        <v>14</v>
      </c>
      <c r="B5" s="16">
        <v>0.6</v>
      </c>
      <c r="C5" s="16">
        <v>0.6</v>
      </c>
      <c r="D5" s="16">
        <v>0.6</v>
      </c>
      <c r="E5" s="11">
        <v>0.6</v>
      </c>
      <c r="F5" s="11">
        <v>0.6</v>
      </c>
      <c r="G5" s="11">
        <v>0.6</v>
      </c>
      <c r="J5" s="18" t="s">
        <v>14</v>
      </c>
      <c r="K5" s="16">
        <f t="shared" ref="K5:K14" si="1">B5*20</f>
        <v>12</v>
      </c>
      <c r="L5" s="11">
        <f t="shared" ref="L5:L14" si="2">C5*20</f>
        <v>12</v>
      </c>
      <c r="M5" s="11">
        <f t="shared" ref="M5:M14" si="3">D5*20</f>
        <v>12</v>
      </c>
      <c r="N5" s="11">
        <f t="shared" ref="N5:N14" si="4">E5*20</f>
        <v>12</v>
      </c>
      <c r="O5" s="11">
        <f t="shared" ref="O5:O14" si="5">F5*20</f>
        <v>12</v>
      </c>
      <c r="P5" s="11">
        <f t="shared" ref="P5:P14" si="6">G5*20</f>
        <v>12</v>
      </c>
    </row>
    <row r="6" spans="1:16" ht="18" x14ac:dyDescent="0.25">
      <c r="A6" s="17" t="s">
        <v>15</v>
      </c>
      <c r="B6" s="15">
        <v>0.45</v>
      </c>
      <c r="C6" s="15">
        <v>0.45</v>
      </c>
      <c r="D6" s="15">
        <v>0.45</v>
      </c>
      <c r="E6" s="6">
        <v>0.55000000000000004</v>
      </c>
      <c r="F6" s="6">
        <v>0.55000000000000004</v>
      </c>
      <c r="G6" s="6">
        <v>0.55000000000000004</v>
      </c>
      <c r="J6" s="17" t="s">
        <v>15</v>
      </c>
      <c r="K6" s="15">
        <f t="shared" si="1"/>
        <v>9</v>
      </c>
      <c r="L6" s="6">
        <f t="shared" si="2"/>
        <v>9</v>
      </c>
      <c r="M6" s="6">
        <f t="shared" si="3"/>
        <v>9</v>
      </c>
      <c r="N6" s="6">
        <f t="shared" si="4"/>
        <v>11</v>
      </c>
      <c r="O6" s="6">
        <f t="shared" si="5"/>
        <v>11</v>
      </c>
      <c r="P6" s="6">
        <f t="shared" si="6"/>
        <v>11</v>
      </c>
    </row>
    <row r="7" spans="1:16" ht="18" x14ac:dyDescent="0.25">
      <c r="A7" s="18" t="s">
        <v>16</v>
      </c>
      <c r="B7" s="16">
        <v>1</v>
      </c>
      <c r="C7" s="16">
        <v>1</v>
      </c>
      <c r="D7" s="16">
        <v>1</v>
      </c>
      <c r="E7" s="11">
        <v>0.6</v>
      </c>
      <c r="F7" s="11">
        <v>0.6</v>
      </c>
      <c r="G7" s="11">
        <v>0.6</v>
      </c>
      <c r="J7" s="18" t="s">
        <v>16</v>
      </c>
      <c r="K7" s="16">
        <f t="shared" si="1"/>
        <v>20</v>
      </c>
      <c r="L7" s="11">
        <f t="shared" si="2"/>
        <v>20</v>
      </c>
      <c r="M7" s="11">
        <f t="shared" si="3"/>
        <v>20</v>
      </c>
      <c r="N7" s="11">
        <f t="shared" si="4"/>
        <v>12</v>
      </c>
      <c r="O7" s="11">
        <f t="shared" si="5"/>
        <v>12</v>
      </c>
      <c r="P7" s="11">
        <f t="shared" si="6"/>
        <v>12</v>
      </c>
    </row>
    <row r="8" spans="1:16" ht="18" x14ac:dyDescent="0.25">
      <c r="A8" s="17" t="s">
        <v>17</v>
      </c>
      <c r="B8" s="15">
        <v>0</v>
      </c>
      <c r="C8" s="6">
        <v>0.25</v>
      </c>
      <c r="D8" s="6">
        <v>0.5</v>
      </c>
      <c r="E8" s="6">
        <v>0.6</v>
      </c>
      <c r="F8" s="6">
        <v>1.1000000000000001</v>
      </c>
      <c r="G8" s="6">
        <v>1.6</v>
      </c>
      <c r="J8" s="17" t="s">
        <v>17</v>
      </c>
      <c r="K8" s="15">
        <f t="shared" si="1"/>
        <v>0</v>
      </c>
      <c r="L8" s="6">
        <f t="shared" si="2"/>
        <v>5</v>
      </c>
      <c r="M8" s="6">
        <f t="shared" si="3"/>
        <v>10</v>
      </c>
      <c r="N8" s="6">
        <f t="shared" si="4"/>
        <v>12</v>
      </c>
      <c r="O8" s="6">
        <f t="shared" si="5"/>
        <v>22</v>
      </c>
      <c r="P8" s="6">
        <f t="shared" si="6"/>
        <v>32</v>
      </c>
    </row>
    <row r="9" spans="1:16" x14ac:dyDescent="0.2">
      <c r="A9" s="18" t="s">
        <v>8</v>
      </c>
      <c r="B9" s="16">
        <v>2.8</v>
      </c>
      <c r="C9" s="11">
        <v>2.5499999999999998</v>
      </c>
      <c r="D9" s="11">
        <v>2.2999999999999998</v>
      </c>
      <c r="E9" s="11">
        <v>2.2000000000000002</v>
      </c>
      <c r="F9" s="11">
        <v>1.7</v>
      </c>
      <c r="G9" s="11">
        <v>1.2</v>
      </c>
      <c r="J9" s="18" t="s">
        <v>8</v>
      </c>
      <c r="K9" s="16">
        <f t="shared" si="1"/>
        <v>56</v>
      </c>
      <c r="L9" s="11">
        <f t="shared" si="2"/>
        <v>51</v>
      </c>
      <c r="M9" s="11">
        <f t="shared" si="3"/>
        <v>46</v>
      </c>
      <c r="N9" s="11">
        <f t="shared" si="4"/>
        <v>44</v>
      </c>
      <c r="O9" s="11">
        <f t="shared" si="5"/>
        <v>34</v>
      </c>
      <c r="P9" s="11">
        <f t="shared" si="6"/>
        <v>24</v>
      </c>
    </row>
    <row r="10" spans="1:16" ht="18" x14ac:dyDescent="0.25">
      <c r="A10" s="17" t="s">
        <v>18</v>
      </c>
      <c r="B10" s="15">
        <v>0</v>
      </c>
      <c r="C10" s="6">
        <v>0</v>
      </c>
      <c r="D10" s="6">
        <v>0</v>
      </c>
      <c r="E10" s="6">
        <v>0.2</v>
      </c>
      <c r="F10" s="6">
        <v>0.3</v>
      </c>
      <c r="G10" s="6">
        <v>0.2</v>
      </c>
      <c r="J10" s="17" t="s">
        <v>18</v>
      </c>
      <c r="K10" s="15">
        <f t="shared" si="1"/>
        <v>0</v>
      </c>
      <c r="L10" s="6">
        <f t="shared" si="2"/>
        <v>0</v>
      </c>
      <c r="M10" s="6">
        <f t="shared" si="3"/>
        <v>0</v>
      </c>
      <c r="N10" s="6">
        <f t="shared" si="4"/>
        <v>4</v>
      </c>
      <c r="O10" s="6">
        <f t="shared" si="5"/>
        <v>6</v>
      </c>
      <c r="P10" s="6">
        <f t="shared" si="6"/>
        <v>4</v>
      </c>
    </row>
    <row r="11" spans="1:16" ht="18" x14ac:dyDescent="0.25">
      <c r="A11" s="18" t="s">
        <v>19</v>
      </c>
      <c r="B11" s="16">
        <v>3.1</v>
      </c>
      <c r="C11" s="11">
        <v>3.1</v>
      </c>
      <c r="D11" s="11">
        <v>3.1</v>
      </c>
      <c r="E11" s="11">
        <v>2.7</v>
      </c>
      <c r="F11" s="11">
        <v>2.6</v>
      </c>
      <c r="G11" s="11">
        <v>0.7</v>
      </c>
      <c r="J11" s="18" t="s">
        <v>19</v>
      </c>
      <c r="K11" s="16">
        <f t="shared" si="1"/>
        <v>62</v>
      </c>
      <c r="L11" s="11">
        <f t="shared" si="2"/>
        <v>62</v>
      </c>
      <c r="M11" s="11">
        <f t="shared" si="3"/>
        <v>62</v>
      </c>
      <c r="N11" s="11">
        <f t="shared" si="4"/>
        <v>54</v>
      </c>
      <c r="O11" s="11">
        <f t="shared" si="5"/>
        <v>52</v>
      </c>
      <c r="P11" s="11">
        <f t="shared" si="6"/>
        <v>14</v>
      </c>
    </row>
    <row r="12" spans="1:16" ht="18" x14ac:dyDescent="0.25">
      <c r="A12" s="17" t="s">
        <v>20</v>
      </c>
      <c r="B12" s="15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J12" s="17" t="s">
        <v>20</v>
      </c>
      <c r="K12" s="15">
        <f t="shared" si="1"/>
        <v>20</v>
      </c>
      <c r="L12" s="6">
        <f t="shared" si="2"/>
        <v>20</v>
      </c>
      <c r="M12" s="6">
        <f t="shared" si="3"/>
        <v>20</v>
      </c>
      <c r="N12" s="6">
        <f t="shared" si="4"/>
        <v>20</v>
      </c>
      <c r="O12" s="6">
        <f t="shared" si="5"/>
        <v>20</v>
      </c>
      <c r="P12" s="6">
        <f t="shared" si="6"/>
        <v>20</v>
      </c>
    </row>
    <row r="13" spans="1:16" x14ac:dyDescent="0.2">
      <c r="A13" s="18" t="s">
        <v>6</v>
      </c>
      <c r="B13" s="16">
        <v>1</v>
      </c>
      <c r="C13" s="11">
        <v>1</v>
      </c>
      <c r="D13" s="11">
        <v>1</v>
      </c>
      <c r="E13" s="11">
        <v>1</v>
      </c>
      <c r="F13" s="11">
        <v>1</v>
      </c>
      <c r="G13" s="11">
        <v>1</v>
      </c>
      <c r="J13" s="18" t="s">
        <v>6</v>
      </c>
      <c r="K13" s="16">
        <f t="shared" si="1"/>
        <v>20</v>
      </c>
      <c r="L13" s="11">
        <f t="shared" si="2"/>
        <v>20</v>
      </c>
      <c r="M13" s="11">
        <f t="shared" si="3"/>
        <v>20</v>
      </c>
      <c r="N13" s="11">
        <f t="shared" si="4"/>
        <v>20</v>
      </c>
      <c r="O13" s="11">
        <f t="shared" si="5"/>
        <v>20</v>
      </c>
      <c r="P13" s="11">
        <f t="shared" si="6"/>
        <v>20</v>
      </c>
    </row>
    <row r="14" spans="1:16" ht="17" thickBot="1" x14ac:dyDescent="0.25">
      <c r="A14" s="24" t="s">
        <v>7</v>
      </c>
      <c r="B14" s="25">
        <v>1</v>
      </c>
      <c r="C14" s="7">
        <v>1</v>
      </c>
      <c r="D14" s="7">
        <v>1</v>
      </c>
      <c r="E14" s="7">
        <v>1</v>
      </c>
      <c r="F14" s="7">
        <v>1</v>
      </c>
      <c r="G14" s="7">
        <v>1</v>
      </c>
      <c r="J14" s="24" t="s">
        <v>7</v>
      </c>
      <c r="K14" s="25">
        <f t="shared" si="1"/>
        <v>20</v>
      </c>
      <c r="L14" s="7">
        <f t="shared" si="2"/>
        <v>20</v>
      </c>
      <c r="M14" s="7">
        <f t="shared" si="3"/>
        <v>20</v>
      </c>
      <c r="N14" s="7">
        <f t="shared" si="4"/>
        <v>20</v>
      </c>
      <c r="O14" s="7">
        <f t="shared" si="5"/>
        <v>20</v>
      </c>
      <c r="P14" s="7">
        <f t="shared" si="6"/>
        <v>20</v>
      </c>
    </row>
    <row r="15" spans="1:16" ht="18" x14ac:dyDescent="0.25">
      <c r="A15" s="22" t="s">
        <v>21</v>
      </c>
      <c r="B15" s="23">
        <v>0.25</v>
      </c>
      <c r="C15" s="23">
        <v>0.25</v>
      </c>
      <c r="D15" s="23">
        <v>0.25</v>
      </c>
      <c r="E15" s="23">
        <v>0.25</v>
      </c>
      <c r="F15" s="23">
        <v>0.25</v>
      </c>
      <c r="G15" s="23">
        <v>0.25</v>
      </c>
      <c r="J15" s="22" t="s">
        <v>21</v>
      </c>
      <c r="K15" s="23">
        <f>B15</f>
        <v>0.25</v>
      </c>
      <c r="L15" s="23">
        <f t="shared" ref="L15:P15" si="7">C15</f>
        <v>0.25</v>
      </c>
      <c r="M15" s="23">
        <f t="shared" si="7"/>
        <v>0.25</v>
      </c>
      <c r="N15" s="23">
        <f t="shared" si="7"/>
        <v>0.25</v>
      </c>
      <c r="O15" s="23">
        <f t="shared" si="7"/>
        <v>0.25</v>
      </c>
      <c r="P15" s="23">
        <f t="shared" si="7"/>
        <v>0.25</v>
      </c>
    </row>
    <row r="16" spans="1:16" ht="17" thickBot="1" x14ac:dyDescent="0.25">
      <c r="A16" s="26" t="s">
        <v>11</v>
      </c>
      <c r="B16" s="9">
        <v>6.1</v>
      </c>
      <c r="C16" s="10">
        <v>6.1</v>
      </c>
      <c r="D16" s="10">
        <v>6.1</v>
      </c>
      <c r="E16" s="8">
        <v>6.05</v>
      </c>
      <c r="F16" s="8">
        <v>6.05</v>
      </c>
      <c r="G16" s="10">
        <v>6.05</v>
      </c>
      <c r="J16" s="26" t="s">
        <v>11</v>
      </c>
      <c r="K16" s="31">
        <f>B16</f>
        <v>6.1</v>
      </c>
      <c r="L16" s="31">
        <f t="shared" ref="L16" si="8">C16</f>
        <v>6.1</v>
      </c>
      <c r="M16" s="31">
        <f t="shared" ref="M16" si="9">D16</f>
        <v>6.1</v>
      </c>
      <c r="N16" s="31">
        <f t="shared" ref="N16" si="10">E16</f>
        <v>6.05</v>
      </c>
      <c r="O16" s="31">
        <f t="shared" ref="O16" si="11">F16</f>
        <v>6.05</v>
      </c>
      <c r="P16" s="31">
        <f t="shared" ref="P16" si="12">G16</f>
        <v>6.05</v>
      </c>
    </row>
    <row r="17" spans="1:16" x14ac:dyDescent="0.2">
      <c r="A17" s="30" t="s">
        <v>27</v>
      </c>
      <c r="B17" s="13"/>
      <c r="C17" s="14"/>
      <c r="D17" s="14"/>
      <c r="E17" s="14"/>
      <c r="F17" s="14"/>
      <c r="G17" s="14"/>
      <c r="J17" s="30" t="s">
        <v>27</v>
      </c>
    </row>
    <row r="18" spans="1:16" x14ac:dyDescent="0.2">
      <c r="A18" s="30" t="s">
        <v>28</v>
      </c>
      <c r="B18" s="13"/>
      <c r="C18" s="14"/>
      <c r="D18" s="14"/>
      <c r="E18" s="14"/>
      <c r="F18" s="14"/>
      <c r="G18" s="14"/>
      <c r="J18" s="30" t="s">
        <v>28</v>
      </c>
    </row>
    <row r="19" spans="1:16" x14ac:dyDescent="0.2">
      <c r="A19" s="12"/>
      <c r="B19" s="13"/>
      <c r="C19" s="14"/>
      <c r="D19" s="14"/>
      <c r="E19" s="14"/>
      <c r="F19" s="14"/>
      <c r="G19" s="14"/>
    </row>
    <row r="20" spans="1:16" x14ac:dyDescent="0.2">
      <c r="A20" s="12"/>
      <c r="B20" s="13"/>
      <c r="C20" s="14"/>
      <c r="D20" s="14"/>
      <c r="E20" s="14"/>
      <c r="F20" s="14"/>
      <c r="G20" s="14"/>
    </row>
    <row r="21" spans="1:16" x14ac:dyDescent="0.2">
      <c r="A21" s="1"/>
      <c r="B21" s="2"/>
      <c r="C21" s="3"/>
      <c r="D21" s="3"/>
      <c r="E21" s="3"/>
      <c r="F21" s="3"/>
      <c r="G21" s="3"/>
    </row>
    <row r="22" spans="1:16" x14ac:dyDescent="0.2">
      <c r="A22" s="1"/>
      <c r="B22" s="2"/>
      <c r="C22" s="3"/>
      <c r="D22" s="3"/>
      <c r="E22" s="3"/>
      <c r="F22" s="3"/>
      <c r="G22" s="3"/>
    </row>
    <row r="23" spans="1:16" x14ac:dyDescent="0.2">
      <c r="A23" s="1"/>
      <c r="B23" s="2"/>
      <c r="C23" s="3"/>
      <c r="D23" s="3"/>
      <c r="E23" s="3"/>
      <c r="F23" s="3"/>
      <c r="G23" s="3"/>
    </row>
    <row r="24" spans="1:16" x14ac:dyDescent="0.2">
      <c r="A24" s="1"/>
      <c r="B24" s="2"/>
      <c r="C24" s="3"/>
      <c r="D24" s="3"/>
      <c r="E24" s="3"/>
      <c r="F24" s="3"/>
      <c r="G24" s="3"/>
    </row>
    <row r="25" spans="1:16" x14ac:dyDescent="0.2">
      <c r="A25" s="1"/>
      <c r="B25" s="2"/>
      <c r="C25" s="3"/>
      <c r="D25" s="3"/>
      <c r="E25" s="3"/>
      <c r="F25" s="3"/>
      <c r="G25" s="3"/>
    </row>
    <row r="26" spans="1:16" x14ac:dyDescent="0.2">
      <c r="A26" s="1"/>
      <c r="B26" s="2"/>
      <c r="C26" s="3"/>
      <c r="D26" s="3"/>
      <c r="E26" s="3"/>
      <c r="F26" s="3"/>
      <c r="G26" s="3"/>
    </row>
    <row r="27" spans="1:16" x14ac:dyDescent="0.2">
      <c r="A27" s="1"/>
      <c r="B27" s="2"/>
      <c r="C27" s="3"/>
      <c r="D27" s="3"/>
      <c r="E27" s="3"/>
      <c r="F27" s="3"/>
      <c r="G27" s="3"/>
    </row>
    <row r="28" spans="1:16" x14ac:dyDescent="0.2">
      <c r="A28" s="1"/>
      <c r="B28" s="2"/>
      <c r="C28" s="3"/>
      <c r="D28" s="3"/>
      <c r="E28" s="3"/>
      <c r="F28" s="3"/>
      <c r="G28" s="3"/>
    </row>
    <row r="29" spans="1:16" x14ac:dyDescent="0.2">
      <c r="A29" s="1"/>
      <c r="B29" s="2"/>
      <c r="C29" s="3"/>
      <c r="D29" s="3"/>
      <c r="E29" s="3"/>
      <c r="F29" s="3"/>
      <c r="G29" s="3"/>
    </row>
    <row r="30" spans="1:16" x14ac:dyDescent="0.2">
      <c r="A30" s="1"/>
      <c r="B30" s="2"/>
      <c r="C30" s="3"/>
      <c r="D30" s="3"/>
      <c r="E30" s="3"/>
      <c r="F30" s="3"/>
      <c r="G30" s="3"/>
    </row>
    <row r="32" spans="1:16" ht="24" x14ac:dyDescent="0.3">
      <c r="A32" s="29" t="s">
        <v>24</v>
      </c>
      <c r="B32" s="29"/>
      <c r="C32" s="29"/>
      <c r="D32" s="29"/>
      <c r="E32" s="29"/>
      <c r="F32" s="29"/>
      <c r="G32" s="29"/>
      <c r="J32" s="29" t="s">
        <v>25</v>
      </c>
      <c r="K32" s="29"/>
      <c r="L32" s="29"/>
      <c r="M32" s="29"/>
      <c r="N32" s="29"/>
      <c r="O32" s="29"/>
      <c r="P32" s="29"/>
    </row>
    <row r="33" spans="1:16" x14ac:dyDescent="0.2">
      <c r="A33" s="19" t="s">
        <v>9</v>
      </c>
      <c r="B33" s="21" t="s">
        <v>0</v>
      </c>
      <c r="C33" s="21" t="s">
        <v>1</v>
      </c>
      <c r="D33" s="21" t="s">
        <v>2</v>
      </c>
      <c r="E33" s="21" t="s">
        <v>3</v>
      </c>
      <c r="F33" s="21" t="s">
        <v>26</v>
      </c>
      <c r="G33" s="21" t="s">
        <v>4</v>
      </c>
      <c r="J33" s="19" t="s">
        <v>9</v>
      </c>
      <c r="K33" s="21" t="s">
        <v>0</v>
      </c>
      <c r="L33" s="21" t="s">
        <v>1</v>
      </c>
      <c r="M33" s="21" t="s">
        <v>2</v>
      </c>
      <c r="N33" s="21" t="s">
        <v>3</v>
      </c>
      <c r="O33" s="21" t="s">
        <v>26</v>
      </c>
      <c r="P33" s="21" t="s">
        <v>5</v>
      </c>
    </row>
    <row r="34" spans="1:16" ht="17" thickBot="1" x14ac:dyDescent="0.25">
      <c r="A34" s="28"/>
      <c r="B34" s="4" t="s">
        <v>10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J34" s="28"/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</row>
    <row r="35" spans="1:16" ht="18" x14ac:dyDescent="0.25">
      <c r="A35" s="27" t="s">
        <v>13</v>
      </c>
      <c r="B35" s="20">
        <v>0</v>
      </c>
      <c r="C35" s="5">
        <v>0</v>
      </c>
      <c r="D35" s="5">
        <v>0.5</v>
      </c>
      <c r="E35" s="5">
        <v>0.5</v>
      </c>
      <c r="F35" s="5">
        <v>1</v>
      </c>
      <c r="G35" s="5">
        <v>1.5</v>
      </c>
      <c r="J35" s="27" t="s">
        <v>13</v>
      </c>
      <c r="K35" s="20">
        <f>B35*20</f>
        <v>0</v>
      </c>
      <c r="L35" s="5">
        <f>C35*20</f>
        <v>0</v>
      </c>
      <c r="M35" s="5">
        <f>D35*20</f>
        <v>10</v>
      </c>
      <c r="N35" s="5">
        <f>E35*20</f>
        <v>10</v>
      </c>
      <c r="O35" s="5">
        <f>F35*20</f>
        <v>20</v>
      </c>
      <c r="P35" s="5">
        <f>G35*20</f>
        <v>30</v>
      </c>
    </row>
    <row r="36" spans="1:16" ht="18" x14ac:dyDescent="0.25">
      <c r="A36" s="18" t="s">
        <v>14</v>
      </c>
      <c r="B36" s="16">
        <v>1.3</v>
      </c>
      <c r="C36" s="11">
        <v>1.3</v>
      </c>
      <c r="D36" s="11">
        <v>1.75</v>
      </c>
      <c r="E36" s="11">
        <v>1.75</v>
      </c>
      <c r="F36" s="11">
        <v>1.6</v>
      </c>
      <c r="G36" s="11">
        <v>1.75</v>
      </c>
      <c r="J36" s="18" t="s">
        <v>14</v>
      </c>
      <c r="K36" s="16">
        <f>B36*20</f>
        <v>26</v>
      </c>
      <c r="L36" s="11">
        <f>C36*20</f>
        <v>26</v>
      </c>
      <c r="M36" s="11">
        <f>D36*20</f>
        <v>35</v>
      </c>
      <c r="N36" s="11">
        <f>E36*20</f>
        <v>35</v>
      </c>
      <c r="O36" s="11">
        <f>F36*20</f>
        <v>32</v>
      </c>
      <c r="P36" s="11">
        <f>G36*20</f>
        <v>35</v>
      </c>
    </row>
    <row r="37" spans="1:16" ht="18" x14ac:dyDescent="0.25">
      <c r="A37" s="17" t="s">
        <v>15</v>
      </c>
      <c r="B37" s="15">
        <v>1.6</v>
      </c>
      <c r="C37" s="6">
        <v>1.6</v>
      </c>
      <c r="D37" s="6">
        <v>1.5</v>
      </c>
      <c r="E37" s="6">
        <v>1.5</v>
      </c>
      <c r="F37" s="6">
        <v>1.7</v>
      </c>
      <c r="G37" s="6">
        <v>1.75</v>
      </c>
      <c r="J37" s="17" t="s">
        <v>15</v>
      </c>
      <c r="K37" s="15">
        <f>B37*20</f>
        <v>32</v>
      </c>
      <c r="L37" s="6">
        <f>C37*20</f>
        <v>32</v>
      </c>
      <c r="M37" s="6">
        <f>D37*20</f>
        <v>30</v>
      </c>
      <c r="N37" s="6">
        <f>E37*20</f>
        <v>30</v>
      </c>
      <c r="O37" s="6">
        <f>F37*20</f>
        <v>34</v>
      </c>
      <c r="P37" s="6">
        <f>G37*20</f>
        <v>35</v>
      </c>
    </row>
    <row r="38" spans="1:16" ht="18" x14ac:dyDescent="0.25">
      <c r="A38" s="18" t="s">
        <v>16</v>
      </c>
      <c r="B38" s="16">
        <v>3</v>
      </c>
      <c r="C38" s="11">
        <v>3</v>
      </c>
      <c r="D38" s="11">
        <v>2.5</v>
      </c>
      <c r="E38" s="11">
        <v>2.5</v>
      </c>
      <c r="F38" s="11">
        <v>2</v>
      </c>
      <c r="G38" s="11">
        <v>1.5</v>
      </c>
      <c r="J38" s="18" t="s">
        <v>16</v>
      </c>
      <c r="K38" s="16">
        <f>B38*20</f>
        <v>60</v>
      </c>
      <c r="L38" s="11">
        <f>C38*20</f>
        <v>60</v>
      </c>
      <c r="M38" s="11">
        <f>D38*20</f>
        <v>50</v>
      </c>
      <c r="N38" s="11">
        <f>E38*20</f>
        <v>50</v>
      </c>
      <c r="O38" s="11">
        <f>F38*20</f>
        <v>40</v>
      </c>
      <c r="P38" s="11">
        <f>G38*20</f>
        <v>30</v>
      </c>
    </row>
    <row r="39" spans="1:16" ht="18" x14ac:dyDescent="0.25">
      <c r="A39" s="17" t="s">
        <v>17</v>
      </c>
      <c r="B39" s="15">
        <v>0</v>
      </c>
      <c r="C39" s="6">
        <v>0.25</v>
      </c>
      <c r="D39" s="6">
        <v>0</v>
      </c>
      <c r="E39" s="6">
        <v>0.5</v>
      </c>
      <c r="F39" s="6">
        <v>0.5</v>
      </c>
      <c r="G39" s="6">
        <v>0.5</v>
      </c>
      <c r="J39" s="17" t="s">
        <v>17</v>
      </c>
      <c r="K39" s="15">
        <f>B39*20</f>
        <v>0</v>
      </c>
      <c r="L39" s="6">
        <f>C39*20</f>
        <v>5</v>
      </c>
      <c r="M39" s="6">
        <f>D39*20</f>
        <v>0</v>
      </c>
      <c r="N39" s="6">
        <f>E39*20</f>
        <v>10</v>
      </c>
      <c r="O39" s="6">
        <f>F39*20</f>
        <v>10</v>
      </c>
      <c r="P39" s="6">
        <f>G39*20</f>
        <v>10</v>
      </c>
    </row>
    <row r="40" spans="1:16" x14ac:dyDescent="0.2">
      <c r="A40" s="18" t="s">
        <v>8</v>
      </c>
      <c r="B40" s="16">
        <v>1.4</v>
      </c>
      <c r="C40" s="11">
        <v>1.1499999999999999</v>
      </c>
      <c r="D40" s="11">
        <v>0.5</v>
      </c>
      <c r="E40" s="11">
        <v>0</v>
      </c>
      <c r="F40" s="11">
        <v>0.3</v>
      </c>
      <c r="G40" s="11">
        <v>0</v>
      </c>
      <c r="J40" s="18" t="s">
        <v>8</v>
      </c>
      <c r="K40" s="16">
        <f>B40*20</f>
        <v>28</v>
      </c>
      <c r="L40" s="11">
        <f>C40*20</f>
        <v>23</v>
      </c>
      <c r="M40" s="11">
        <f>D40*20</f>
        <v>10</v>
      </c>
      <c r="N40" s="11">
        <f>E40*20</f>
        <v>0</v>
      </c>
      <c r="O40" s="11">
        <f>F40*20</f>
        <v>6</v>
      </c>
      <c r="P40" s="11">
        <f>G40*20</f>
        <v>0</v>
      </c>
    </row>
    <row r="41" spans="1:16" ht="18" x14ac:dyDescent="0.25">
      <c r="A41" s="17" t="s">
        <v>18</v>
      </c>
      <c r="B41" s="15">
        <v>0.2</v>
      </c>
      <c r="C41" s="6">
        <v>0.2</v>
      </c>
      <c r="D41" s="6">
        <v>0.2</v>
      </c>
      <c r="E41" s="6">
        <v>0.3</v>
      </c>
      <c r="F41" s="6">
        <v>0.2</v>
      </c>
      <c r="G41" s="6">
        <v>0.3</v>
      </c>
      <c r="J41" s="17" t="s">
        <v>18</v>
      </c>
      <c r="K41" s="15">
        <f>B41*20</f>
        <v>4</v>
      </c>
      <c r="L41" s="6">
        <f>C41*20</f>
        <v>4</v>
      </c>
      <c r="M41" s="6">
        <f>D41*20</f>
        <v>4</v>
      </c>
      <c r="N41" s="6">
        <f>E41*20</f>
        <v>6</v>
      </c>
      <c r="O41" s="6">
        <f>F41*20</f>
        <v>4</v>
      </c>
      <c r="P41" s="6">
        <f>G41*20</f>
        <v>6</v>
      </c>
    </row>
    <row r="42" spans="1:16" ht="18" x14ac:dyDescent="0.25">
      <c r="A42" s="18" t="s">
        <v>19</v>
      </c>
      <c r="B42" s="16">
        <v>0.6</v>
      </c>
      <c r="C42" s="11">
        <v>0.6</v>
      </c>
      <c r="D42" s="11">
        <v>0.8</v>
      </c>
      <c r="E42" s="11">
        <v>0.7</v>
      </c>
      <c r="F42" s="11">
        <v>0.4</v>
      </c>
      <c r="G42" s="11">
        <v>0.2</v>
      </c>
      <c r="J42" s="18" t="s">
        <v>19</v>
      </c>
      <c r="K42" s="16">
        <f>B42*20</f>
        <v>12</v>
      </c>
      <c r="L42" s="11">
        <f>C42*20</f>
        <v>12</v>
      </c>
      <c r="M42" s="11">
        <f>D42*20</f>
        <v>16</v>
      </c>
      <c r="N42" s="11">
        <f>E42*20</f>
        <v>14</v>
      </c>
      <c r="O42" s="11">
        <f>F42*20</f>
        <v>8</v>
      </c>
      <c r="P42" s="11">
        <f>G42*20</f>
        <v>4</v>
      </c>
    </row>
    <row r="43" spans="1:16" ht="18" x14ac:dyDescent="0.25">
      <c r="A43" s="17" t="s">
        <v>20</v>
      </c>
      <c r="B43" s="15">
        <v>1</v>
      </c>
      <c r="C43" s="6">
        <v>1</v>
      </c>
      <c r="D43" s="6">
        <v>1</v>
      </c>
      <c r="E43" s="6">
        <v>1</v>
      </c>
      <c r="F43" s="6">
        <v>1</v>
      </c>
      <c r="G43" s="6">
        <v>1</v>
      </c>
      <c r="J43" s="17" t="s">
        <v>20</v>
      </c>
      <c r="K43" s="15">
        <f>B43*20</f>
        <v>20</v>
      </c>
      <c r="L43" s="6">
        <f>C43*20</f>
        <v>20</v>
      </c>
      <c r="M43" s="6">
        <f>D43*20</f>
        <v>20</v>
      </c>
      <c r="N43" s="6">
        <f>E43*20</f>
        <v>20</v>
      </c>
      <c r="O43" s="6">
        <f>F43*20</f>
        <v>20</v>
      </c>
      <c r="P43" s="6">
        <f>G43*20</f>
        <v>20</v>
      </c>
    </row>
    <row r="44" spans="1:16" x14ac:dyDescent="0.2">
      <c r="A44" s="18" t="s">
        <v>6</v>
      </c>
      <c r="B44" s="16">
        <v>1</v>
      </c>
      <c r="C44" s="11">
        <v>1</v>
      </c>
      <c r="D44" s="11">
        <v>1</v>
      </c>
      <c r="E44" s="11">
        <v>1</v>
      </c>
      <c r="F44" s="11">
        <v>1</v>
      </c>
      <c r="G44" s="11">
        <v>1</v>
      </c>
      <c r="J44" s="18" t="s">
        <v>6</v>
      </c>
      <c r="K44" s="16">
        <f>B44*20</f>
        <v>20</v>
      </c>
      <c r="L44" s="11">
        <f>C44*20</f>
        <v>20</v>
      </c>
      <c r="M44" s="11">
        <f>D44*20</f>
        <v>20</v>
      </c>
      <c r="N44" s="11">
        <f>E44*20</f>
        <v>20</v>
      </c>
      <c r="O44" s="11">
        <f>F44*20</f>
        <v>20</v>
      </c>
      <c r="P44" s="11">
        <f>G44*20</f>
        <v>20</v>
      </c>
    </row>
    <row r="45" spans="1:16" ht="17" thickBot="1" x14ac:dyDescent="0.25">
      <c r="A45" s="24" t="s">
        <v>7</v>
      </c>
      <c r="B45" s="25">
        <v>1</v>
      </c>
      <c r="C45" s="7">
        <v>1</v>
      </c>
      <c r="D45" s="7">
        <v>1</v>
      </c>
      <c r="E45" s="7">
        <v>1</v>
      </c>
      <c r="F45" s="7">
        <v>1</v>
      </c>
      <c r="G45" s="7">
        <v>1</v>
      </c>
      <c r="J45" s="24" t="s">
        <v>7</v>
      </c>
      <c r="K45" s="25">
        <f>B45*20</f>
        <v>20</v>
      </c>
      <c r="L45" s="7">
        <f>C45*20</f>
        <v>20</v>
      </c>
      <c r="M45" s="7">
        <f>D45*20</f>
        <v>20</v>
      </c>
      <c r="N45" s="7">
        <f>E45*20</f>
        <v>20</v>
      </c>
      <c r="O45" s="7">
        <f>F45*20</f>
        <v>20</v>
      </c>
      <c r="P45" s="7">
        <f>G45*20</f>
        <v>20</v>
      </c>
    </row>
    <row r="46" spans="1:16" ht="18" x14ac:dyDescent="0.25">
      <c r="A46" s="22" t="s">
        <v>21</v>
      </c>
      <c r="B46" s="23">
        <v>0.25</v>
      </c>
      <c r="C46" s="23">
        <v>0.25</v>
      </c>
      <c r="D46" s="23">
        <v>0.25</v>
      </c>
      <c r="E46" s="23">
        <v>0.25</v>
      </c>
      <c r="F46" s="23">
        <v>0.25</v>
      </c>
      <c r="G46" s="23">
        <v>0.25</v>
      </c>
      <c r="J46" s="22" t="s">
        <v>21</v>
      </c>
      <c r="K46" s="23">
        <f>B46</f>
        <v>0.25</v>
      </c>
      <c r="L46" s="23">
        <f t="shared" ref="L46:P47" si="13">C46</f>
        <v>0.25</v>
      </c>
      <c r="M46" s="23">
        <f t="shared" si="13"/>
        <v>0.25</v>
      </c>
      <c r="N46" s="23">
        <f t="shared" si="13"/>
        <v>0.25</v>
      </c>
      <c r="O46" s="23">
        <f t="shared" si="13"/>
        <v>0.25</v>
      </c>
      <c r="P46" s="23">
        <f t="shared" si="13"/>
        <v>0.25</v>
      </c>
    </row>
    <row r="47" spans="1:16" ht="17" thickBot="1" x14ac:dyDescent="0.25">
      <c r="A47" s="26" t="s">
        <v>11</v>
      </c>
      <c r="B47" s="9">
        <v>6</v>
      </c>
      <c r="C47" s="10">
        <v>6</v>
      </c>
      <c r="D47" s="10">
        <v>6</v>
      </c>
      <c r="E47" s="10">
        <v>6</v>
      </c>
      <c r="F47" s="10">
        <v>6</v>
      </c>
      <c r="G47" s="10">
        <v>6</v>
      </c>
      <c r="J47" s="26" t="s">
        <v>11</v>
      </c>
      <c r="K47" s="9">
        <f>B47</f>
        <v>6</v>
      </c>
      <c r="L47" s="9">
        <f t="shared" si="13"/>
        <v>6</v>
      </c>
      <c r="M47" s="9">
        <f t="shared" si="13"/>
        <v>6</v>
      </c>
      <c r="N47" s="9">
        <f t="shared" si="13"/>
        <v>6</v>
      </c>
      <c r="O47" s="9">
        <f t="shared" si="13"/>
        <v>6</v>
      </c>
      <c r="P47" s="9">
        <f t="shared" si="13"/>
        <v>6</v>
      </c>
    </row>
    <row r="48" spans="1:16" x14ac:dyDescent="0.2">
      <c r="A48" s="30" t="s">
        <v>27</v>
      </c>
      <c r="B48" s="13"/>
      <c r="C48" s="14"/>
      <c r="D48" s="14"/>
      <c r="E48" s="14"/>
      <c r="F48" s="14"/>
      <c r="G48" s="14"/>
      <c r="J48" s="30" t="s">
        <v>27</v>
      </c>
    </row>
    <row r="49" spans="1:10" x14ac:dyDescent="0.2">
      <c r="A49" s="30" t="s">
        <v>28</v>
      </c>
      <c r="B49" s="30"/>
      <c r="C49" s="14"/>
      <c r="D49" s="14"/>
      <c r="E49" s="14"/>
      <c r="F49" s="14"/>
      <c r="G49" s="14"/>
      <c r="J49" s="30" t="s">
        <v>28</v>
      </c>
    </row>
    <row r="50" spans="1:10" x14ac:dyDescent="0.2">
      <c r="A50" s="12"/>
      <c r="B50" s="30"/>
      <c r="C50" s="14"/>
      <c r="D50" s="14"/>
      <c r="E50" s="14"/>
      <c r="F50" s="14"/>
      <c r="G50" s="14"/>
    </row>
    <row r="51" spans="1:10" x14ac:dyDescent="0.2">
      <c r="A51" s="12"/>
      <c r="B51" s="13"/>
      <c r="C51" s="14"/>
      <c r="D51" s="14"/>
      <c r="E51" s="14"/>
      <c r="F51" s="14"/>
      <c r="G51" s="14"/>
    </row>
    <row r="52" spans="1:10" x14ac:dyDescent="0.2">
      <c r="A52" s="12"/>
      <c r="B52" s="13"/>
      <c r="C52" s="14"/>
      <c r="D52" s="14"/>
      <c r="E52" s="14"/>
      <c r="F52" s="14"/>
      <c r="G52" s="14"/>
    </row>
    <row r="53" spans="1:10" x14ac:dyDescent="0.2">
      <c r="A53" s="12"/>
      <c r="B53" s="13"/>
      <c r="C53" s="14"/>
      <c r="D53" s="14"/>
      <c r="E53" s="14"/>
      <c r="F53" s="14"/>
      <c r="G53" s="14"/>
    </row>
    <row r="54" spans="1:10" x14ac:dyDescent="0.2">
      <c r="A54" s="12"/>
      <c r="B54" s="13"/>
      <c r="C54" s="14"/>
      <c r="D54" s="14"/>
      <c r="E54" s="14"/>
      <c r="F54" s="14"/>
      <c r="G54" s="14"/>
    </row>
    <row r="55" spans="1:10" x14ac:dyDescent="0.2">
      <c r="A55" s="12"/>
      <c r="B55" s="13"/>
      <c r="C55" s="14"/>
      <c r="D55" s="14"/>
      <c r="E55" s="14"/>
      <c r="F55" s="14"/>
      <c r="G55" s="14"/>
    </row>
    <row r="56" spans="1:10" x14ac:dyDescent="0.2">
      <c r="A56" s="12"/>
      <c r="B56" s="13"/>
      <c r="C56" s="14"/>
      <c r="D56" s="14"/>
      <c r="E56" s="14"/>
      <c r="F56" s="14"/>
      <c r="G56" s="14"/>
    </row>
    <row r="57" spans="1:10" x14ac:dyDescent="0.2">
      <c r="A57" s="12"/>
      <c r="B57" s="13"/>
      <c r="C57" s="14"/>
      <c r="D57" s="14"/>
      <c r="E57" s="14"/>
      <c r="F57" s="14"/>
      <c r="G57" s="14"/>
    </row>
    <row r="58" spans="1:10" x14ac:dyDescent="0.2">
      <c r="A58" s="12"/>
      <c r="B58" s="13"/>
      <c r="C58" s="14"/>
      <c r="D58" s="14"/>
      <c r="E58" s="14"/>
      <c r="F58" s="14"/>
      <c r="G58" s="14"/>
    </row>
    <row r="59" spans="1:10" x14ac:dyDescent="0.2">
      <c r="A59" s="12"/>
      <c r="B59" s="13"/>
      <c r="C59" s="14"/>
      <c r="D59" s="14"/>
      <c r="E59" s="14"/>
      <c r="F59" s="14"/>
      <c r="G59" s="14"/>
    </row>
    <row r="60" spans="1:10" x14ac:dyDescent="0.2">
      <c r="A60" s="12"/>
      <c r="B60" s="13"/>
      <c r="C60" s="14"/>
      <c r="D60" s="14"/>
      <c r="E60" s="14"/>
      <c r="F60" s="14"/>
      <c r="G60" s="14"/>
    </row>
    <row r="61" spans="1:10" x14ac:dyDescent="0.2">
      <c r="A61" s="12"/>
      <c r="B61" s="13"/>
      <c r="C61" s="14"/>
      <c r="D61" s="14"/>
      <c r="E61" s="14"/>
      <c r="F61" s="14"/>
      <c r="G61" s="14"/>
    </row>
    <row r="79" spans="1:7" x14ac:dyDescent="0.2">
      <c r="A79" s="12"/>
      <c r="B79" s="13"/>
      <c r="C79" s="14"/>
      <c r="D79" s="14"/>
      <c r="E79" s="14"/>
      <c r="F79" s="14"/>
      <c r="G79" s="14"/>
    </row>
    <row r="80" spans="1:7" x14ac:dyDescent="0.2">
      <c r="A80" s="12"/>
      <c r="B80" s="13"/>
      <c r="C80" s="14"/>
      <c r="D80" s="14"/>
      <c r="E80" s="14"/>
      <c r="F80" s="14"/>
      <c r="G80" s="14"/>
    </row>
    <row r="81" spans="1:7" x14ac:dyDescent="0.2">
      <c r="A81" s="12"/>
      <c r="B81" s="13"/>
      <c r="C81" s="14"/>
      <c r="D81" s="14"/>
      <c r="E81" s="14"/>
      <c r="F81" s="14"/>
      <c r="G81" s="14"/>
    </row>
    <row r="82" spans="1:7" x14ac:dyDescent="0.2">
      <c r="A82" s="12"/>
      <c r="B82" s="13"/>
      <c r="C82" s="14"/>
      <c r="D82" s="14"/>
      <c r="E82" s="14"/>
      <c r="F82" s="14"/>
      <c r="G82" s="14"/>
    </row>
    <row r="83" spans="1:7" x14ac:dyDescent="0.2">
      <c r="A83" s="12"/>
      <c r="B83" s="13"/>
      <c r="C83" s="14"/>
      <c r="D83" s="14"/>
      <c r="E83" s="14"/>
      <c r="F83" s="14"/>
      <c r="G83" s="14"/>
    </row>
    <row r="84" spans="1:7" x14ac:dyDescent="0.2">
      <c r="A84" s="12"/>
      <c r="B84" s="13"/>
      <c r="C84" s="14"/>
      <c r="D84" s="14"/>
      <c r="E84" s="14"/>
      <c r="F84" s="14"/>
      <c r="G84" s="14"/>
    </row>
    <row r="85" spans="1:7" x14ac:dyDescent="0.2">
      <c r="A85" s="12"/>
      <c r="B85" s="13"/>
      <c r="C85" s="14"/>
      <c r="D85" s="14"/>
      <c r="E85" s="14"/>
      <c r="F85" s="14"/>
      <c r="G85" s="14"/>
    </row>
    <row r="86" spans="1:7" x14ac:dyDescent="0.2">
      <c r="A86" s="12"/>
      <c r="B86" s="13"/>
      <c r="C86" s="14"/>
      <c r="D86" s="14"/>
      <c r="E86" s="14"/>
      <c r="F86" s="14"/>
      <c r="G86" s="14"/>
    </row>
    <row r="87" spans="1:7" x14ac:dyDescent="0.2">
      <c r="A87" s="12"/>
      <c r="B87" s="13"/>
      <c r="C87" s="14"/>
      <c r="D87" s="14"/>
      <c r="E87" s="14"/>
      <c r="F87" s="14"/>
      <c r="G87" s="14"/>
    </row>
    <row r="88" spans="1:7" x14ac:dyDescent="0.2">
      <c r="A88" s="12"/>
      <c r="B88" s="13"/>
      <c r="C88" s="14"/>
      <c r="D88" s="14"/>
      <c r="E88" s="14"/>
      <c r="F88" s="14"/>
      <c r="G88" s="14"/>
    </row>
    <row r="89" spans="1:7" x14ac:dyDescent="0.2">
      <c r="A89" s="12"/>
      <c r="B89" s="13"/>
      <c r="C89" s="14"/>
      <c r="D89" s="14"/>
      <c r="E89" s="14"/>
      <c r="F89" s="14"/>
      <c r="G89" s="14"/>
    </row>
    <row r="90" spans="1:7" x14ac:dyDescent="0.2">
      <c r="A90" s="12"/>
      <c r="B90" s="13"/>
      <c r="C90" s="14"/>
      <c r="D90" s="14"/>
      <c r="E90" s="14"/>
      <c r="F90" s="14"/>
      <c r="G90" s="14"/>
    </row>
    <row r="91" spans="1:7" x14ac:dyDescent="0.2">
      <c r="A91" s="12"/>
      <c r="B91" s="13"/>
      <c r="C91" s="14"/>
      <c r="D91" s="14"/>
      <c r="E91" s="14"/>
      <c r="F91" s="14"/>
      <c r="G91" s="14"/>
    </row>
    <row r="92" spans="1:7" x14ac:dyDescent="0.2">
      <c r="A92" s="12"/>
      <c r="B92" s="13"/>
      <c r="C92" s="14"/>
      <c r="D92" s="14"/>
      <c r="E92" s="14"/>
      <c r="F92" s="14"/>
      <c r="G92" s="14"/>
    </row>
    <row r="93" spans="1:7" x14ac:dyDescent="0.2">
      <c r="A93" s="1"/>
      <c r="B93" s="2"/>
      <c r="C93" s="3"/>
      <c r="D93" s="3"/>
      <c r="E93" s="3"/>
      <c r="F93" s="3"/>
      <c r="G93" s="3"/>
    </row>
  </sheetData>
  <mergeCells count="8">
    <mergeCell ref="A32:G32"/>
    <mergeCell ref="A33:A34"/>
    <mergeCell ref="J32:P32"/>
    <mergeCell ref="J33:J34"/>
    <mergeCell ref="J1:P1"/>
    <mergeCell ref="J2:J3"/>
    <mergeCell ref="A2:A3"/>
    <mergeCell ref="A1:G1"/>
  </mergeCells>
  <pageMargins left="0.7" right="0.7" top="0.75" bottom="0.75" header="0.3" footer="0.3"/>
  <pageSetup scale="82" fitToWidth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cp:lastPrinted>2026-05-26T20:49:51Z</cp:lastPrinted>
  <dcterms:created xsi:type="dcterms:W3CDTF">2026-05-26T20:09:41Z</dcterms:created>
  <dcterms:modified xsi:type="dcterms:W3CDTF">2026-05-27T21:53:37Z</dcterms:modified>
</cp:coreProperties>
</file>