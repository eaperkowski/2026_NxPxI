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aperkowski/git/2026_NxPxI/hoagland_recipes/"/>
    </mc:Choice>
  </mc:AlternateContent>
  <xr:revisionPtr revIDLastSave="0" documentId="8_{180F8E55-65CF-E746-98DB-1D0D8E668ED2}" xr6:coauthVersionLast="47" xr6:coauthVersionMax="47" xr10:uidLastSave="{00000000-0000-0000-0000-000000000000}"/>
  <bookViews>
    <workbookView xWindow="1740" yWindow="660" windowWidth="28500" windowHeight="18980" activeTab="6" xr2:uid="{EA5B7CD4-0592-B14D-A568-E53194DF6487}"/>
  </bookViews>
  <sheets>
    <sheet name="Stock solutions" sheetId="1" r:id="rId1"/>
    <sheet name="0 ppm N, 0 ppm P" sheetId="2" r:id="rId2"/>
    <sheet name="0 ppm N, 7.5 ppm P" sheetId="10" r:id="rId3"/>
    <sheet name="0 ppm N, 15 ppm P" sheetId="7" r:id="rId4"/>
    <sheet name="0 ppm N, 31 ppm P" sheetId="5" r:id="rId5"/>
    <sheet name="0 ppm N, 62 ppm P" sheetId="8" r:id="rId6"/>
    <sheet name="0 ppm N, 93 ppm P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0" l="1"/>
  <c r="D32" i="10"/>
  <c r="E32" i="10" s="1"/>
  <c r="B41" i="10" s="1"/>
  <c r="D31" i="10"/>
  <c r="E31" i="10" s="1"/>
  <c r="B40" i="10" s="1"/>
  <c r="D30" i="10"/>
  <c r="E30" i="10" s="1"/>
  <c r="B39" i="10" s="1"/>
  <c r="D29" i="10"/>
  <c r="E29" i="10" s="1"/>
  <c r="D28" i="10"/>
  <c r="E28" i="10" s="1"/>
  <c r="D27" i="10"/>
  <c r="E27" i="10" s="1"/>
  <c r="B37" i="10" s="1"/>
  <c r="D26" i="10"/>
  <c r="E26" i="10" s="1"/>
  <c r="D25" i="10"/>
  <c r="D24" i="10"/>
  <c r="D23" i="10"/>
  <c r="D22" i="10"/>
  <c r="D21" i="10"/>
  <c r="D20" i="10"/>
  <c r="D19" i="10"/>
  <c r="E15" i="10"/>
  <c r="E13" i="10"/>
  <c r="E12" i="10"/>
  <c r="E11" i="10"/>
  <c r="E10" i="10"/>
  <c r="B36" i="9"/>
  <c r="E32" i="9"/>
  <c r="B41" i="9" s="1"/>
  <c r="D32" i="9"/>
  <c r="D31" i="9"/>
  <c r="E31" i="9" s="1"/>
  <c r="B40" i="9" s="1"/>
  <c r="D30" i="9"/>
  <c r="E30" i="9" s="1"/>
  <c r="B39" i="9" s="1"/>
  <c r="D29" i="9"/>
  <c r="E29" i="9" s="1"/>
  <c r="D28" i="9"/>
  <c r="E28" i="9" s="1"/>
  <c r="D27" i="9"/>
  <c r="E27" i="9" s="1"/>
  <c r="B37" i="9" s="1"/>
  <c r="D26" i="9"/>
  <c r="E26" i="9" s="1"/>
  <c r="D25" i="9"/>
  <c r="D24" i="9"/>
  <c r="D23" i="9"/>
  <c r="D22" i="9"/>
  <c r="D21" i="9"/>
  <c r="D20" i="9"/>
  <c r="D19" i="9"/>
  <c r="E15" i="9"/>
  <c r="E13" i="9"/>
  <c r="E12" i="9"/>
  <c r="E11" i="9"/>
  <c r="E10" i="9"/>
  <c r="B36" i="8"/>
  <c r="D32" i="8"/>
  <c r="E32" i="8" s="1"/>
  <c r="B41" i="8" s="1"/>
  <c r="D31" i="8"/>
  <c r="E31" i="8" s="1"/>
  <c r="B40" i="8" s="1"/>
  <c r="D30" i="8"/>
  <c r="E30" i="8" s="1"/>
  <c r="B39" i="8" s="1"/>
  <c r="D29" i="8"/>
  <c r="E29" i="8" s="1"/>
  <c r="D28" i="8"/>
  <c r="E28" i="8" s="1"/>
  <c r="D27" i="8"/>
  <c r="E27" i="8" s="1"/>
  <c r="B37" i="8" s="1"/>
  <c r="D26" i="8"/>
  <c r="E26" i="8" s="1"/>
  <c r="D25" i="8"/>
  <c r="D24" i="8"/>
  <c r="D23" i="8"/>
  <c r="D22" i="8"/>
  <c r="D21" i="8"/>
  <c r="D20" i="8"/>
  <c r="D19" i="8"/>
  <c r="E15" i="8"/>
  <c r="E13" i="8"/>
  <c r="E12" i="8"/>
  <c r="E11" i="8"/>
  <c r="E10" i="8"/>
  <c r="E10" i="7"/>
  <c r="B36" i="7"/>
  <c r="D32" i="7"/>
  <c r="E32" i="7" s="1"/>
  <c r="B41" i="7" s="1"/>
  <c r="D31" i="7"/>
  <c r="E31" i="7" s="1"/>
  <c r="B40" i="7" s="1"/>
  <c r="D30" i="7"/>
  <c r="E30" i="7" s="1"/>
  <c r="B39" i="7" s="1"/>
  <c r="D29" i="7"/>
  <c r="E29" i="7" s="1"/>
  <c r="D28" i="7"/>
  <c r="E28" i="7" s="1"/>
  <c r="D27" i="7"/>
  <c r="E27" i="7" s="1"/>
  <c r="B37" i="7" s="1"/>
  <c r="D26" i="7"/>
  <c r="E26" i="7" s="1"/>
  <c r="D25" i="7"/>
  <c r="D24" i="7"/>
  <c r="D23" i="7"/>
  <c r="D22" i="7"/>
  <c r="D21" i="7"/>
  <c r="D20" i="7"/>
  <c r="D19" i="7"/>
  <c r="E15" i="7"/>
  <c r="E13" i="7"/>
  <c r="E12" i="7"/>
  <c r="E11" i="7"/>
  <c r="E11" i="2"/>
  <c r="E12" i="2"/>
  <c r="E13" i="2"/>
  <c r="E15" i="2"/>
  <c r="D19" i="2"/>
  <c r="D20" i="2"/>
  <c r="D21" i="2"/>
  <c r="D22" i="2"/>
  <c r="D23" i="2"/>
  <c r="D24" i="2"/>
  <c r="D25" i="2"/>
  <c r="D26" i="2"/>
  <c r="D27" i="2"/>
  <c r="D28" i="2"/>
  <c r="E28" i="2" s="1"/>
  <c r="B38" i="2" s="1"/>
  <c r="D29" i="2"/>
  <c r="E29" i="2" s="1"/>
  <c r="D30" i="2"/>
  <c r="E30" i="2" s="1"/>
  <c r="B39" i="2" s="1"/>
  <c r="D31" i="2"/>
  <c r="E31" i="2" s="1"/>
  <c r="B40" i="2" s="1"/>
  <c r="D32" i="2"/>
  <c r="E32" i="2"/>
  <c r="B36" i="2"/>
  <c r="B37" i="2"/>
  <c r="B41" i="2"/>
  <c r="B36" i="5"/>
  <c r="D32" i="5"/>
  <c r="E32" i="5" s="1"/>
  <c r="B41" i="5" s="1"/>
  <c r="D31" i="5"/>
  <c r="E31" i="5" s="1"/>
  <c r="B40" i="5" s="1"/>
  <c r="D30" i="5"/>
  <c r="E30" i="5" s="1"/>
  <c r="B39" i="5" s="1"/>
  <c r="D29" i="5"/>
  <c r="E29" i="5" s="1"/>
  <c r="D28" i="5"/>
  <c r="E28" i="5" s="1"/>
  <c r="D27" i="5"/>
  <c r="E27" i="5" s="1"/>
  <c r="B37" i="5" s="1"/>
  <c r="D26" i="5"/>
  <c r="E26" i="5" s="1"/>
  <c r="B38" i="5" s="1"/>
  <c r="D25" i="5"/>
  <c r="D24" i="5"/>
  <c r="D23" i="5"/>
  <c r="D22" i="5"/>
  <c r="D21" i="5"/>
  <c r="D20" i="5"/>
  <c r="D19" i="5"/>
  <c r="E15" i="5"/>
  <c r="E13" i="5"/>
  <c r="E12" i="5"/>
  <c r="E11" i="5"/>
  <c r="E10" i="5"/>
  <c r="C9" i="1"/>
  <c r="C4" i="1"/>
  <c r="C3" i="1"/>
  <c r="B38" i="8" l="1"/>
  <c r="B38" i="9"/>
  <c r="B38" i="10"/>
  <c r="B38" i="7"/>
</calcChain>
</file>

<file path=xl/sharedStrings.xml><?xml version="1.0" encoding="utf-8"?>
<sst xmlns="http://schemas.openxmlformats.org/spreadsheetml/2006/main" count="324" uniqueCount="59">
  <si>
    <t>compound name and stock solution  molarity</t>
  </si>
  <si>
    <t>molar mass (g per L)</t>
  </si>
  <si>
    <t>stock solution (g per L)</t>
  </si>
  <si>
    <r>
      <t>1 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</si>
  <si>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2 M KNO</t>
    </r>
    <r>
      <rPr>
        <vertAlign val="subscript"/>
        <sz val="12"/>
        <color theme="1"/>
        <rFont val="Calibri (Body)"/>
      </rPr>
      <t>3</t>
    </r>
  </si>
  <si>
    <r>
      <t>2 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</si>
  <si>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1 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 xml:space="preserve"> (for treatments below 280 ppm/20 mM N)</t>
    </r>
  </si>
  <si>
    <r>
      <t>1 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</si>
  <si>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1 M KCl</t>
  </si>
  <si>
    <r>
      <t>1 M CaCO</t>
    </r>
    <r>
      <rPr>
        <vertAlign val="subscript"/>
        <sz val="12"/>
        <color theme="1"/>
        <rFont val="Calibri (Body)"/>
      </rPr>
      <t>3</t>
    </r>
  </si>
  <si>
    <r>
      <t>2 M MgSO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</si>
  <si>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10 % Fe-EDTA</t>
  </si>
  <si>
    <r>
      <t>Trace Elements (all compounds combined in 1 L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O)</t>
    </r>
  </si>
  <si>
    <r>
      <t>MnCl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</si>
  <si>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H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BO</t>
    </r>
    <r>
      <rPr>
        <vertAlign val="subscript"/>
        <sz val="12"/>
        <color theme="1"/>
        <rFont val="Calibri (Body)"/>
      </rPr>
      <t>3</t>
    </r>
  </si>
  <si>
    <r>
      <t>ZnSO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</si>
  <si>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CuSO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5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</si>
  <si>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85% Molybdic acid</t>
  </si>
  <si>
    <t>Primary N addition compounds</t>
  </si>
  <si>
    <t>compound</t>
  </si>
  <si>
    <t>M</t>
  </si>
  <si>
    <t>mg/mol</t>
  </si>
  <si>
    <t>ml per L</t>
  </si>
  <si>
    <t>ppm</t>
  </si>
  <si>
    <r>
      <t>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</si>
  <si>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KNO</t>
    </r>
    <r>
      <rPr>
        <vertAlign val="subscript"/>
        <sz val="12"/>
        <color theme="1"/>
        <rFont val="Calibri (Body)"/>
      </rPr>
      <t>3</t>
    </r>
  </si>
  <si>
    <r>
      <t>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</si>
  <si>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</si>
  <si>
    <t>Supplemental macros &amp; micros</t>
  </si>
  <si>
    <r>
      <t>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</si>
  <si>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KCl</t>
  </si>
  <si>
    <r>
      <t>CaCO</t>
    </r>
    <r>
      <rPr>
        <vertAlign val="subscript"/>
        <sz val="12"/>
        <color theme="1"/>
        <rFont val="Calibri (Body)"/>
      </rPr>
      <t>3</t>
    </r>
  </si>
  <si>
    <r>
      <t>MgSO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</si>
  <si>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10% Fe-EDTA</t>
  </si>
  <si>
    <t>Trace elements</t>
  </si>
  <si>
    <t>Individual NPK ppm</t>
  </si>
  <si>
    <t>element</t>
  </si>
  <si>
    <r>
      <t>N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</si>
  <si>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P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</si>
  <si>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K from KNO</t>
    </r>
    <r>
      <rPr>
        <vertAlign val="subscript"/>
        <sz val="12"/>
        <color theme="1"/>
        <rFont val="Calibri (Body)"/>
      </rPr>
      <t>3</t>
    </r>
  </si>
  <si>
    <r>
      <t>N from KNO</t>
    </r>
    <r>
      <rPr>
        <vertAlign val="subscript"/>
        <sz val="12"/>
        <color theme="1"/>
        <rFont val="Calibri (Body)"/>
      </rPr>
      <t>3</t>
    </r>
  </si>
  <si>
    <r>
      <t>Ca from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</si>
  <si>
    <r>
      <t>N from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</si>
  <si>
    <r>
      <t>N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</si>
  <si>
    <r>
      <t>K from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</si>
  <si>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P from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</si>
  <si>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K from KCl</t>
  </si>
  <si>
    <t>Cl from KCl</t>
  </si>
  <si>
    <r>
      <t>Ca from CaCO</t>
    </r>
    <r>
      <rPr>
        <vertAlign val="subscript"/>
        <sz val="12"/>
        <color theme="1"/>
        <rFont val="Calibri (Body)"/>
      </rPr>
      <t>3</t>
    </r>
  </si>
  <si>
    <r>
      <t>Mg from MgSO</t>
    </r>
    <r>
      <rPr>
        <vertAlign val="subscript"/>
        <sz val="12"/>
        <color theme="1"/>
        <rFont val="Calibri (Body)"/>
      </rPr>
      <t>4</t>
    </r>
  </si>
  <si>
    <r>
      <t>S from SO</t>
    </r>
    <r>
      <rPr>
        <vertAlign val="subscript"/>
        <sz val="12"/>
        <color theme="1"/>
        <rFont val="Calibri (Body)"/>
      </rPr>
      <t>4</t>
    </r>
  </si>
  <si>
    <t>Total macronutrient ppm in solution</t>
  </si>
  <si>
    <t>macronutrient</t>
  </si>
  <si>
    <t>N</t>
  </si>
  <si>
    <t>P</t>
  </si>
  <si>
    <t>K</t>
  </si>
  <si>
    <t>Ca</t>
  </si>
  <si>
    <t>Mg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</si>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</sst>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vertAlign val="subscript"/>
      <sz val="12"/>
      <color theme="1"/>
      <name val="Calibri (Body)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0" fillId="0" borderId="2" xfId="0" applyBorder="1"/>
    <xf numFmtId="2" fontId="0" fillId="0" borderId="2" xfId="0" applyNumberFormat="1" applyBorder="1"/>
    <xf numFmtId="0" fontId="0" fillId="0" borderId="1" xfId="0" applyBorder="1"/>
    <xf numFmtId="2" fontId="0" fillId="0" borderId="1" xfId="0" applyNumberFormat="1" applyBorder="1"/>
    <xf numFmtId="0" fontId="0" fillId="0" borderId="0" xfId="0" applyAlignment="1">
      <alignment horizontal="right"/>
    </xf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BD20D-F70A-A744-A301-DE87ED3333C4}">
  <dimension ref="A1:C16"/>
  <sheetViews>
    <sheetView zoomScale="270" zoomScaleNormal="270" workbookViewId="0">
      <selection activeCell="A15" sqref="A15"/>
    </sheetView>
  </sheetViews>
  <sheetFormatPr baseColWidth="10" defaultRowHeight="16" x14ac:dyDescent="0.2"/>
  <cols>
    <col min="1" max="1" width="45.1640625" bestFit="1" customWidth="1"/>
    <col min="2" max="2" width="18.1640625" bestFit="1" customWidth="1"/>
    <col min="3" max="3" width="20" bestFit="1" customWidth="1"/>
  </cols>
  <sheetData>
    <row r="1" spans="1:3" ht="17" thickBot="1" x14ac:dyDescent="0.25">
      <c r="A1" s="1" t="s">
        <v>0</v>
      </c>
      <c r="B1" s="1" t="s">
        <v>1</v>
      </c>
      <c r="C1" s="1" t="s">
        <v>2</v>
      </c>
    </row>
    <row r="2" spans="1:3" ht="18" x14ac:dyDescent="0.25">
      <c r="A2" t="s">
        <v>3</v>
      </c>
      <c r="B2" s="2">
        <v>115.03</v>
      </c>
      <c r="C2">
        <v>115.03</v>
      </c>
    </row>
    <row r="3" spans="1:3" ht="18" x14ac:dyDescent="0.25">
      <c r="A3" t="s">
        <v>4</v>
      </c>
      <c r="B3" s="2">
        <v>101.11</v>
      </c>
      <c r="C3">
        <f>B3*2</f>
        <v>202.22</v>
      </c>
    </row>
    <row r="4" spans="1:3" ht="18" x14ac:dyDescent="0.25">
      <c r="A4" t="s">
        <v>5</v>
      </c>
      <c r="B4" s="2">
        <v>236.15</v>
      </c>
      <c r="C4">
        <f>B4*2</f>
        <v>472.3</v>
      </c>
    </row>
    <row r="5" spans="1:3" ht="18" x14ac:dyDescent="0.25">
      <c r="A5" t="s">
        <v>6</v>
      </c>
      <c r="B5" s="2">
        <v>80.040000000000006</v>
      </c>
      <c r="C5">
        <v>80.040000000000006</v>
      </c>
    </row>
    <row r="6" spans="1:3" ht="18" x14ac:dyDescent="0.25">
      <c r="A6" t="s">
        <v>7</v>
      </c>
      <c r="B6" s="2">
        <v>136.09</v>
      </c>
      <c r="C6">
        <v>136.09</v>
      </c>
    </row>
    <row r="7" spans="1:3" x14ac:dyDescent="0.2">
      <c r="A7" t="s">
        <v>8</v>
      </c>
      <c r="B7" s="2">
        <v>74.55</v>
      </c>
      <c r="C7">
        <v>74.55</v>
      </c>
    </row>
    <row r="8" spans="1:3" ht="18" x14ac:dyDescent="0.25">
      <c r="A8" t="s">
        <v>9</v>
      </c>
      <c r="B8" s="2">
        <v>100.09</v>
      </c>
      <c r="C8">
        <v>100.09</v>
      </c>
    </row>
    <row r="9" spans="1:3" ht="18" x14ac:dyDescent="0.25">
      <c r="A9" t="s">
        <v>10</v>
      </c>
      <c r="B9" s="2">
        <v>246.48</v>
      </c>
      <c r="C9">
        <f>B9*2</f>
        <v>492.96</v>
      </c>
    </row>
    <row r="10" spans="1:3" ht="17" thickBot="1" x14ac:dyDescent="0.25">
      <c r="A10" s="3" t="s">
        <v>11</v>
      </c>
      <c r="B10" s="4">
        <v>38.5</v>
      </c>
      <c r="C10" s="3">
        <v>38.5</v>
      </c>
    </row>
    <row r="11" spans="1:3" ht="19" thickBot="1" x14ac:dyDescent="0.3">
      <c r="A11" s="5" t="s">
        <v>12</v>
      </c>
      <c r="B11" s="6"/>
      <c r="C11" s="5"/>
    </row>
    <row r="12" spans="1:3" ht="18" x14ac:dyDescent="0.25">
      <c r="A12" s="7" t="s">
        <v>13</v>
      </c>
      <c r="B12">
        <v>197.92</v>
      </c>
      <c r="C12">
        <v>1.81</v>
      </c>
    </row>
    <row r="13" spans="1:3" ht="18" x14ac:dyDescent="0.25">
      <c r="A13" s="7" t="s">
        <v>14</v>
      </c>
      <c r="B13">
        <v>61.83</v>
      </c>
      <c r="C13">
        <v>2.83</v>
      </c>
    </row>
    <row r="14" spans="1:3" ht="18" x14ac:dyDescent="0.25">
      <c r="A14" s="7" t="s">
        <v>15</v>
      </c>
      <c r="B14" s="2">
        <v>287.60000000000002</v>
      </c>
      <c r="C14">
        <v>0.22</v>
      </c>
    </row>
    <row r="15" spans="1:3" ht="18" x14ac:dyDescent="0.25">
      <c r="A15" s="7" t="s">
        <v>16</v>
      </c>
      <c r="B15" s="2">
        <v>249.68</v>
      </c>
      <c r="C15">
        <v>0.08</v>
      </c>
    </row>
    <row r="16" spans="1:3" x14ac:dyDescent="0.2">
      <c r="A16" s="7" t="s">
        <v>17</v>
      </c>
      <c r="B16" s="2">
        <v>161.94999999999999</v>
      </c>
      <c r="C16">
        <v>0.106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91A3-BC3E-BA4A-95DE-642736502BE5}">
  <dimension ref="A1:E41"/>
  <sheetViews>
    <sheetView zoomScale="200" zoomScaleNormal="200" workbookViewId="0">
      <selection sqref="A1:E41"/>
    </sheetView>
  </sheetViews>
  <sheetFormatPr baseColWidth="10" defaultRowHeight="16" x14ac:dyDescent="0.2"/>
  <cols>
    <col min="1" max="1" width="30.6640625" bestFit="1" customWidth="1"/>
    <col min="2" max="2" width="5.6640625" bestFit="1" customWidth="1"/>
    <col min="3" max="3" width="8.1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</v>
      </c>
      <c r="E10" s="9">
        <v>0</v>
      </c>
    </row>
    <row r="11" spans="1:5" x14ac:dyDescent="0.2">
      <c r="A11" t="s">
        <v>30</v>
      </c>
      <c r="B11">
        <v>1</v>
      </c>
      <c r="C11">
        <v>74.555000000000007</v>
      </c>
      <c r="D11">
        <v>4</v>
      </c>
      <c r="E11" s="9">
        <f>(C11*1000)/(1000/(B11*D11))</f>
        <v>298.22000000000003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ref="E12:E15" si="0">(C12*1000)/(1000/(B12*D12))</f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</v>
      </c>
      <c r="E26" s="9">
        <v>0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</v>
      </c>
      <c r="E27" s="9">
        <v>0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4</v>
      </c>
      <c r="E28" s="9">
        <f t="shared" ref="E28:E32" si="1">(C28*1000)/(1000/(B28*D28))</f>
        <v>156.37719999999999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4</v>
      </c>
      <c r="E29" s="9">
        <f t="shared" si="1"/>
        <v>141.81200000000001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ht="17" customHeight="1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0</v>
      </c>
    </row>
    <row r="38" spans="1:5" x14ac:dyDescent="0.2">
      <c r="A38" t="s">
        <v>55</v>
      </c>
      <c r="B38" s="9">
        <f>SUM(E21,E26,E28)</f>
        <v>156.37719999999999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136DE-12C0-BC4C-B963-A9701A317B59}">
  <dimension ref="A1:E41"/>
  <sheetViews>
    <sheetView topLeftCell="A6" zoomScale="170" zoomScaleNormal="170" workbookViewId="0">
      <selection activeCell="G22" sqref="G22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0.25</v>
      </c>
      <c r="E10" s="9">
        <f>(C10*1000)/(1000/(B10*D10))</f>
        <v>34.021500000000003</v>
      </c>
    </row>
    <row r="11" spans="1:5" x14ac:dyDescent="0.2">
      <c r="A11" t="s">
        <v>30</v>
      </c>
      <c r="B11">
        <v>1</v>
      </c>
      <c r="C11">
        <v>74.555000000000007</v>
      </c>
      <c r="D11">
        <v>3.75</v>
      </c>
      <c r="E11" s="9">
        <f>(C11*1000)/(1000/(B11*D11))</f>
        <v>279.58124999999995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ref="E12:E15" si="0">(C12*1000)/(1000/(B12*D12))</f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0.25</v>
      </c>
      <c r="E26" s="9">
        <f t="shared" ref="E26:E32" si="1">(C26*1000)/(1000/(B26*D26))</f>
        <v>9.7735749999999992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0.25</v>
      </c>
      <c r="E27" s="9">
        <f t="shared" si="1"/>
        <v>7.7434250000000002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3.75</v>
      </c>
      <c r="E28" s="9">
        <f t="shared" si="1"/>
        <v>146.60362499999997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3.75</v>
      </c>
      <c r="E29" s="9">
        <f t="shared" si="1"/>
        <v>132.94874999999999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7.7434250000000002</v>
      </c>
    </row>
    <row r="38" spans="1:5" x14ac:dyDescent="0.2">
      <c r="A38" t="s">
        <v>55</v>
      </c>
      <c r="B38" s="9">
        <f>SUM(E21,E26,E28)</f>
        <v>156.37719999999996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20572-E7E9-C149-A071-72B5F47728B3}">
  <dimension ref="A1:E41"/>
  <sheetViews>
    <sheetView topLeftCell="A25" zoomScale="211" zoomScaleNormal="211" workbookViewId="0">
      <selection activeCell="E41" sqref="A1:E41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0.5</v>
      </c>
      <c r="E10" s="9">
        <f>(C10*1000)/(1000/(B10*D10))</f>
        <v>68.043000000000006</v>
      </c>
    </row>
    <row r="11" spans="1:5" x14ac:dyDescent="0.2">
      <c r="A11" t="s">
        <v>30</v>
      </c>
      <c r="B11">
        <v>1</v>
      </c>
      <c r="C11">
        <v>74.555000000000007</v>
      </c>
      <c r="D11">
        <v>3.5</v>
      </c>
      <c r="E11" s="9">
        <f>(C11*1000)/(1000/(B11*D11))</f>
        <v>260.9425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ref="E12:E15" si="0">(C12*1000)/(1000/(B12*D12))</f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0.5</v>
      </c>
      <c r="E26" s="9">
        <f t="shared" ref="E26:E32" si="1">(C26*1000)/(1000/(B26*D26))</f>
        <v>19.547149999999998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0.5</v>
      </c>
      <c r="E27" s="9">
        <f t="shared" si="1"/>
        <v>15.48685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3.5</v>
      </c>
      <c r="E28" s="9">
        <f t="shared" si="1"/>
        <v>136.83004999999997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3.5</v>
      </c>
      <c r="E29" s="9">
        <f t="shared" si="1"/>
        <v>124.0855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15.48685</v>
      </c>
    </row>
    <row r="38" spans="1:5" x14ac:dyDescent="0.2">
      <c r="A38" t="s">
        <v>55</v>
      </c>
      <c r="B38" s="9">
        <f>SUM(E21,E26,E28)</f>
        <v>156.37719999999996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7AD85-1C36-514C-8973-F08DE1511404}">
  <dimension ref="A1:E41"/>
  <sheetViews>
    <sheetView topLeftCell="A22" zoomScale="170" zoomScaleNormal="170" workbookViewId="0">
      <selection activeCell="E41" sqref="A1:E41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1</v>
      </c>
      <c r="E10" s="9">
        <f t="shared" ref="E10:E15" si="0">(C10*1000)/(1000/(B10*D10))</f>
        <v>136.08600000000001</v>
      </c>
    </row>
    <row r="11" spans="1:5" x14ac:dyDescent="0.2">
      <c r="A11" t="s">
        <v>30</v>
      </c>
      <c r="B11">
        <v>1</v>
      </c>
      <c r="C11">
        <v>74.555000000000007</v>
      </c>
      <c r="D11">
        <v>3</v>
      </c>
      <c r="E11" s="9">
        <f>(C11*1000)/(1000/(B11*D11))</f>
        <v>223.66500000000002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si="0"/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1</v>
      </c>
      <c r="E26" s="9">
        <f t="shared" ref="E26:E32" si="1">(C26*1000)/(1000/(B26*D26))</f>
        <v>39.094299999999997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1</v>
      </c>
      <c r="E27" s="9">
        <f t="shared" si="1"/>
        <v>30.973700000000001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3</v>
      </c>
      <c r="E28" s="9">
        <f t="shared" si="1"/>
        <v>117.2829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3</v>
      </c>
      <c r="E29" s="9">
        <f t="shared" si="1"/>
        <v>106.35900000000001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30.973700000000001</v>
      </c>
    </row>
    <row r="38" spans="1:5" x14ac:dyDescent="0.2">
      <c r="A38" t="s">
        <v>55</v>
      </c>
      <c r="B38" s="9">
        <f>SUM(E21,E26,E28)</f>
        <v>156.37719999999999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62CA-CBA6-4F4B-B6C7-FFC0A474BA45}">
  <dimension ref="A1:E41"/>
  <sheetViews>
    <sheetView topLeftCell="A23" zoomScale="190" zoomScaleNormal="190" workbookViewId="0">
      <selection activeCell="E41" sqref="A1:E41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2</v>
      </c>
      <c r="E10" s="9">
        <f t="shared" ref="E10:E15" si="0">(C10*1000)/(1000/(B10*D10))</f>
        <v>272.17200000000003</v>
      </c>
    </row>
    <row r="11" spans="1:5" x14ac:dyDescent="0.2">
      <c r="A11" t="s">
        <v>30</v>
      </c>
      <c r="B11">
        <v>1</v>
      </c>
      <c r="C11">
        <v>74.555000000000007</v>
      </c>
      <c r="D11">
        <v>2</v>
      </c>
      <c r="E11" s="9">
        <f>(C11*1000)/(1000/(B11*D11))</f>
        <v>149.11000000000001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si="0"/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2</v>
      </c>
      <c r="E26" s="9">
        <f t="shared" ref="E26:E32" si="1">(C26*1000)/(1000/(B26*D26))</f>
        <v>78.188599999999994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2</v>
      </c>
      <c r="E27" s="9">
        <f t="shared" si="1"/>
        <v>61.947400000000002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2</v>
      </c>
      <c r="E28" s="9">
        <f t="shared" si="1"/>
        <v>78.188599999999994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2</v>
      </c>
      <c r="E29" s="9">
        <f t="shared" si="1"/>
        <v>70.906000000000006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61.947400000000002</v>
      </c>
    </row>
    <row r="38" spans="1:5" x14ac:dyDescent="0.2">
      <c r="A38" t="s">
        <v>55</v>
      </c>
      <c r="B38" s="9">
        <f>SUM(E21,E26,E28)</f>
        <v>156.37719999999999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39455-23E4-0843-B935-AE858235A388}">
  <dimension ref="A1:E41"/>
  <sheetViews>
    <sheetView tabSelected="1" topLeftCell="A8" zoomScale="228" zoomScaleNormal="228" workbookViewId="0">
      <selection activeCell="A13" sqref="A13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3</v>
      </c>
      <c r="E10" s="9">
        <f t="shared" ref="E10:E15" si="0">(C10*1000)/(1000/(B10*D10))</f>
        <v>408.25800000000004</v>
      </c>
    </row>
    <row r="11" spans="1:5" x14ac:dyDescent="0.2">
      <c r="A11" t="s">
        <v>30</v>
      </c>
      <c r="B11">
        <v>1</v>
      </c>
      <c r="C11">
        <v>74.555000000000007</v>
      </c>
      <c r="D11">
        <v>1</v>
      </c>
      <c r="E11" s="9">
        <f>(C11*1000)/(1000/(B11*D11))</f>
        <v>74.555000000000007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si="0"/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3</v>
      </c>
      <c r="E26" s="9">
        <f t="shared" ref="E26:E32" si="1">(C26*1000)/(1000/(B26*D26))</f>
        <v>117.2829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3</v>
      </c>
      <c r="E27" s="9">
        <f t="shared" si="1"/>
        <v>92.92110000000001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1</v>
      </c>
      <c r="E28" s="9">
        <f t="shared" si="1"/>
        <v>39.094299999999997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1</v>
      </c>
      <c r="E29" s="9">
        <f t="shared" si="1"/>
        <v>35.453000000000003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92.92110000000001</v>
      </c>
    </row>
    <row r="38" spans="1:5" x14ac:dyDescent="0.2">
      <c r="A38" t="s">
        <v>55</v>
      </c>
      <c r="B38" s="9">
        <f>SUM(E21,E26,E28)</f>
        <v>156.37719999999999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Stock solutions</vt:lpstr>
      <vt:lpstr>0 ppm N, 0 ppm P</vt:lpstr>
      <vt:lpstr>0 ppm N, 7.5 ppm P</vt:lpstr>
      <vt:lpstr>0 ppm N, 15 ppm P</vt:lpstr>
      <vt:lpstr>0 ppm N, 31 ppm P</vt:lpstr>
      <vt:lpstr>0 ppm N, 62 ppm P</vt:lpstr>
      <vt:lpstr>0 ppm N, 93 ppm 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Perkowski, Evan A</dc:creator>
  <cp:lastModifiedBy>Perkowski, Evan A</cp:lastModifiedBy>
  <dcterms:created xsi:type="dcterms:W3CDTF">2026-03-27T18:15:30Z</dcterms:created>
  <dcterms:modified xsi:type="dcterms:W3CDTF">2026-03-27T19:55:41Z</dcterms:modified>
</cp:coreProperties>
</file>