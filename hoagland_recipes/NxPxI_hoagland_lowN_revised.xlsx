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aperkowski/git/2026_NxPxI/hoagland_recipes/"/>
    </mc:Choice>
  </mc:AlternateContent>
  <xr:revisionPtr revIDLastSave="0" documentId="13_ncr:1_{ECC95845-3385-D94B-9EF5-0D525BE9569E}" xr6:coauthVersionLast="47" xr6:coauthVersionMax="47" xr10:uidLastSave="{00000000-0000-0000-0000-000000000000}"/>
  <bookViews>
    <workbookView xWindow="24420" yWindow="600" windowWidth="42060" windowHeight="28200" activeTab="5" xr2:uid="{D8162C4C-0F91-B749-8466-88C5F33C3EA0}"/>
  </bookViews>
  <sheets>
    <sheet name="70 ppm N, 0 ppm P" sheetId="1" r:id="rId1"/>
    <sheet name="70 ppm N, 7.5 ppm P" sheetId="2" r:id="rId2"/>
    <sheet name="70 ppm N, 15 ppm P" sheetId="3" r:id="rId3"/>
    <sheet name="70 ppm N, 31 ppm P" sheetId="4" r:id="rId4"/>
    <sheet name="70 ppm N, 46.5 ppm P" sheetId="6" r:id="rId5"/>
    <sheet name="70 ppm N, 62 ppm P" sheetId="5" r:id="rId6"/>
  </sheets>
  <definedNames>
    <definedName name="solver_adj" localSheetId="0" hidden="1">'70 ppm N, 0 ppm P'!$D$3:$D$6,'70 ppm N, 0 ppm P'!$D$10:$D$13</definedName>
    <definedName name="solver_adj" localSheetId="3" hidden="1">'70 ppm N, 31 ppm P'!$D$3:$D$6,'70 ppm N, 31 ppm P'!$D$10:$D$14</definedName>
    <definedName name="solver_adj" localSheetId="4" hidden="1">'70 ppm N, 46.5 ppm P'!$D$3:$D$6,'70 ppm N, 46.5 ppm P'!$D$10:$D$13</definedName>
    <definedName name="solver_adj" localSheetId="5" hidden="1">'70 ppm N, 62 ppm P'!$D$3:$D$6,'70 ppm N, 62 ppm P'!$D$10:$D$13</definedName>
    <definedName name="solver_cvg" localSheetId="0" hidden="1">0.0001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drv" localSheetId="0" hidden="1">1</definedName>
    <definedName name="solver_drv" localSheetId="3" hidden="1">1</definedName>
    <definedName name="solver_drv" localSheetId="4" hidden="1">1</definedName>
    <definedName name="solver_drv" localSheetId="5" hidden="1">1</definedName>
    <definedName name="solver_eng" localSheetId="0" hidden="1">1</definedName>
    <definedName name="solver_eng" localSheetId="3" hidden="1">1</definedName>
    <definedName name="solver_eng" localSheetId="4" hidden="1">1</definedName>
    <definedName name="solver_eng" localSheetId="5" hidden="1">1</definedName>
    <definedName name="solver_itr" localSheetId="0" hidden="1">2147483647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lhs1" localSheetId="0" hidden="1">'70 ppm N, 0 ppm P'!$B$39</definedName>
    <definedName name="solver_lhs1" localSheetId="3" hidden="1">'70 ppm N, 31 ppm P'!$B$39</definedName>
    <definedName name="solver_lhs1" localSheetId="4" hidden="1">'70 ppm N, 46.5 ppm P'!$B$39</definedName>
    <definedName name="solver_lhs1" localSheetId="5" hidden="1">'70 ppm N, 62 ppm P'!$B$39</definedName>
    <definedName name="solver_lhs2" localSheetId="0" hidden="1">'70 ppm N, 0 ppm P'!$B$40</definedName>
    <definedName name="solver_lhs2" localSheetId="3" hidden="1">'70 ppm N, 31 ppm P'!$B$40</definedName>
    <definedName name="solver_lhs2" localSheetId="4" hidden="1">'70 ppm N, 46.5 ppm P'!$B$40</definedName>
    <definedName name="solver_lhs2" localSheetId="5" hidden="1">'70 ppm N, 62 ppm P'!$B$40</definedName>
    <definedName name="solver_lhs3" localSheetId="0" hidden="1">'70 ppm N, 0 ppm P'!$B$41</definedName>
    <definedName name="solver_lhs3" localSheetId="3" hidden="1">'70 ppm N, 31 ppm P'!$B$41</definedName>
    <definedName name="solver_lhs3" localSheetId="4" hidden="1">'70 ppm N, 46.5 ppm P'!$B$41</definedName>
    <definedName name="solver_lhs3" localSheetId="5" hidden="1">'70 ppm N, 62 ppm P'!$B$41</definedName>
    <definedName name="solver_lhs4" localSheetId="0" hidden="1">'70 ppm N, 0 ppm P'!$B$42</definedName>
    <definedName name="solver_lhs4" localSheetId="3" hidden="1">'70 ppm N, 31 ppm P'!$B$42</definedName>
    <definedName name="solver_lhs4" localSheetId="4" hidden="1">'70 ppm N, 46.5 ppm P'!$B$42</definedName>
    <definedName name="solver_lhs4" localSheetId="5" hidden="1">'70 ppm N, 62 ppm P'!$B$42</definedName>
    <definedName name="solver_lhs5" localSheetId="0" hidden="1">'70 ppm N, 0 ppm P'!$B$43</definedName>
    <definedName name="solver_lhs5" localSheetId="3" hidden="1">'70 ppm N, 31 ppm P'!$B$43</definedName>
    <definedName name="solver_lhs6" localSheetId="0" hidden="1">'70 ppm N, 0 ppm P'!$B$44</definedName>
    <definedName name="solver_lhs6" localSheetId="3" hidden="1">'70 ppm N, 31 ppm P'!$B$44</definedName>
    <definedName name="solver_lin" localSheetId="0" hidden="1">2</definedName>
    <definedName name="solver_lin" localSheetId="3" hidden="1">2</definedName>
    <definedName name="solver_lin" localSheetId="4" hidden="1">2</definedName>
    <definedName name="solver_lin" localSheetId="5" hidden="1">2</definedName>
    <definedName name="solver_mip" localSheetId="0" hidden="1">2147483647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ni" localSheetId="0" hidden="1">30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rt" localSheetId="0" hidden="1">0.075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sl" localSheetId="0" hidden="1">2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neg" localSheetId="0" hidden="1">1</definedName>
    <definedName name="solver_neg" localSheetId="3" hidden="1">1</definedName>
    <definedName name="solver_neg" localSheetId="4" hidden="1">1</definedName>
    <definedName name="solver_neg" localSheetId="5" hidden="1">1</definedName>
    <definedName name="solver_nod" localSheetId="0" hidden="1">2147483647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um" localSheetId="0" hidden="1">6</definedName>
    <definedName name="solver_num" localSheetId="3" hidden="1">6</definedName>
    <definedName name="solver_num" localSheetId="4" hidden="1">4</definedName>
    <definedName name="solver_num" localSheetId="5" hidden="1">4</definedName>
    <definedName name="solver_opt" localSheetId="0" hidden="1">'70 ppm N, 0 ppm P'!$B$56</definedName>
    <definedName name="solver_opt" localSheetId="3" hidden="1">'70 ppm N, 31 ppm P'!$B$56</definedName>
    <definedName name="solver_opt" localSheetId="4" hidden="1">'70 ppm N, 46.5 ppm P'!$B$56</definedName>
    <definedName name="solver_opt" localSheetId="5" hidden="1">'70 ppm N, 62 ppm P'!$B$56</definedName>
    <definedName name="solver_pre" localSheetId="0" hidden="1">0.001</definedName>
    <definedName name="solver_pre" localSheetId="3" hidden="1">0.001</definedName>
    <definedName name="solver_pre" localSheetId="4" hidden="1">0.001</definedName>
    <definedName name="solver_pre" localSheetId="5" hidden="1">0.001</definedName>
    <definedName name="solver_rbv" localSheetId="0" hidden="1">1</definedName>
    <definedName name="solver_rbv" localSheetId="3" hidden="1">1</definedName>
    <definedName name="solver_rbv" localSheetId="4" hidden="1">1</definedName>
    <definedName name="solver_rbv" localSheetId="5" hidden="1">1</definedName>
    <definedName name="solver_rel1" localSheetId="0" hidden="1">2</definedName>
    <definedName name="solver_rel1" localSheetId="3" hidden="1">2</definedName>
    <definedName name="solver_rel1" localSheetId="4" hidden="1">2</definedName>
    <definedName name="solver_rel1" localSheetId="5" hidden="1">2</definedName>
    <definedName name="solver_rel2" localSheetId="0" hidden="1">2</definedName>
    <definedName name="solver_rel2" localSheetId="3" hidden="1">2</definedName>
    <definedName name="solver_rel2" localSheetId="4" hidden="1">2</definedName>
    <definedName name="solver_rel2" localSheetId="5" hidden="1">2</definedName>
    <definedName name="solver_rel3" localSheetId="0" hidden="1">2</definedName>
    <definedName name="solver_rel3" localSheetId="3" hidden="1">2</definedName>
    <definedName name="solver_rel3" localSheetId="4" hidden="1">2</definedName>
    <definedName name="solver_rel3" localSheetId="5" hidden="1">2</definedName>
    <definedName name="solver_rel4" localSheetId="0" hidden="1">2</definedName>
    <definedName name="solver_rel4" localSheetId="3" hidden="1">2</definedName>
    <definedName name="solver_rel4" localSheetId="4" hidden="1">2</definedName>
    <definedName name="solver_rel4" localSheetId="5" hidden="1">2</definedName>
    <definedName name="solver_rel5" localSheetId="0" hidden="1">2</definedName>
    <definedName name="solver_rel5" localSheetId="3" hidden="1">2</definedName>
    <definedName name="solver_rel6" localSheetId="0" hidden="1">2</definedName>
    <definedName name="solver_rel6" localSheetId="3" hidden="1">2</definedName>
    <definedName name="solver_rhs1" localSheetId="0" hidden="1">'70 ppm N, 0 ppm P'!$C$39</definedName>
    <definedName name="solver_rhs1" localSheetId="3" hidden="1">'70 ppm N, 31 ppm P'!$C$39</definedName>
    <definedName name="solver_rhs1" localSheetId="4" hidden="1">'70 ppm N, 46.5 ppm P'!$C$39</definedName>
    <definedName name="solver_rhs1" localSheetId="5" hidden="1">'70 ppm N, 62 ppm P'!$C$39</definedName>
    <definedName name="solver_rhs2" localSheetId="0" hidden="1">'70 ppm N, 0 ppm P'!$C$40</definedName>
    <definedName name="solver_rhs2" localSheetId="3" hidden="1">'70 ppm N, 31 ppm P'!$C$40</definedName>
    <definedName name="solver_rhs2" localSheetId="4" hidden="1">'70 ppm N, 46.5 ppm P'!$C$40</definedName>
    <definedName name="solver_rhs2" localSheetId="5" hidden="1">'70 ppm N, 62 ppm P'!$C$40</definedName>
    <definedName name="solver_rhs3" localSheetId="0" hidden="1">'70 ppm N, 0 ppm P'!$C$41</definedName>
    <definedName name="solver_rhs3" localSheetId="3" hidden="1">'70 ppm N, 31 ppm P'!$C$41</definedName>
    <definedName name="solver_rhs3" localSheetId="4" hidden="1">'70 ppm N, 46.5 ppm P'!$C$41</definedName>
    <definedName name="solver_rhs3" localSheetId="5" hidden="1">'70 ppm N, 62 ppm P'!$C$41</definedName>
    <definedName name="solver_rhs4" localSheetId="0" hidden="1">'70 ppm N, 0 ppm P'!$C$42</definedName>
    <definedName name="solver_rhs4" localSheetId="3" hidden="1">'70 ppm N, 31 ppm P'!$C$42</definedName>
    <definedName name="solver_rhs4" localSheetId="4" hidden="1">'70 ppm N, 46.5 ppm P'!$C$42</definedName>
    <definedName name="solver_rhs4" localSheetId="5" hidden="1">'70 ppm N, 62 ppm P'!$C$42</definedName>
    <definedName name="solver_rhs5" localSheetId="0" hidden="1">'70 ppm N, 0 ppm P'!$C$43</definedName>
    <definedName name="solver_rhs5" localSheetId="3" hidden="1">'70 ppm N, 31 ppm P'!$C$43</definedName>
    <definedName name="solver_rhs6" localSheetId="0" hidden="1">'70 ppm N, 0 ppm P'!$C$44</definedName>
    <definedName name="solver_rhs6" localSheetId="3" hidden="1">'70 ppm N, 31 ppm P'!$C$44</definedName>
    <definedName name="solver_rlx" localSheetId="0" hidden="1">1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sd" localSheetId="0" hidden="1">0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scl" localSheetId="0" hidden="1">2</definedName>
    <definedName name="solver_scl" localSheetId="3" hidden="1">1</definedName>
    <definedName name="solver_scl" localSheetId="4" hidden="1">1</definedName>
    <definedName name="solver_scl" localSheetId="5" hidden="1">1</definedName>
    <definedName name="solver_sho" localSheetId="0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sz" localSheetId="0" hidden="1">100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tim" localSheetId="0" hidden="1">2147483647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ol" localSheetId="0" hidden="1">0.01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yp" localSheetId="0" hidden="1">3</definedName>
    <definedName name="solver_typ" localSheetId="3" hidden="1">3</definedName>
    <definedName name="solver_typ" localSheetId="4" hidden="1">3</definedName>
    <definedName name="solver_typ" localSheetId="5" hidden="1">3</definedName>
    <definedName name="solver_val" localSheetId="0" hidden="1">0.25</definedName>
    <definedName name="solver_val" localSheetId="3" hidden="1">0.25</definedName>
    <definedName name="solver_val" localSheetId="4" hidden="1">0.25</definedName>
    <definedName name="solver_val" localSheetId="5" hidden="1">0.25</definedName>
    <definedName name="solver_ver" localSheetId="0" hidden="1">2</definedName>
    <definedName name="solver_ver" localSheetId="3" hidden="1">2</definedName>
    <definedName name="solver_ver" localSheetId="4" hidden="1">2</definedName>
    <definedName name="solver_ver" localSheetId="5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0" i="3" l="1"/>
  <c r="D40" i="3" s="1"/>
  <c r="D39" i="3"/>
  <c r="C33" i="6"/>
  <c r="C33" i="5"/>
  <c r="C33" i="4"/>
  <c r="C33" i="3"/>
  <c r="C33" i="2"/>
  <c r="C33" i="1"/>
  <c r="C52" i="1"/>
  <c r="D52" i="1" s="1"/>
  <c r="C52" i="2"/>
  <c r="D52" i="2" s="1"/>
  <c r="C52" i="3"/>
  <c r="D52" i="3" s="1"/>
  <c r="C52" i="4"/>
  <c r="D52" i="4" s="1"/>
  <c r="C52" i="5"/>
  <c r="D52" i="5" s="1"/>
  <c r="C52" i="6"/>
  <c r="D52" i="6" s="1"/>
  <c r="C54" i="6"/>
  <c r="D54" i="6" s="1"/>
  <c r="C53" i="6"/>
  <c r="D53" i="6" s="1"/>
  <c r="C51" i="6"/>
  <c r="D51" i="6" s="1"/>
  <c r="C50" i="6"/>
  <c r="D50" i="6" s="1"/>
  <c r="C54" i="5"/>
  <c r="D54" i="5" s="1"/>
  <c r="C53" i="5"/>
  <c r="D53" i="5" s="1"/>
  <c r="C51" i="5"/>
  <c r="D51" i="5" s="1"/>
  <c r="C50" i="5"/>
  <c r="D50" i="5" s="1"/>
  <c r="C54" i="4"/>
  <c r="D54" i="4" s="1"/>
  <c r="C53" i="4"/>
  <c r="D53" i="4" s="1"/>
  <c r="C51" i="4"/>
  <c r="D51" i="4" s="1"/>
  <c r="C50" i="4"/>
  <c r="D50" i="4" s="1"/>
  <c r="C54" i="3"/>
  <c r="D54" i="3" s="1"/>
  <c r="C53" i="3"/>
  <c r="D53" i="3" s="1"/>
  <c r="C51" i="3"/>
  <c r="D51" i="3" s="1"/>
  <c r="C50" i="3"/>
  <c r="D50" i="3" s="1"/>
  <c r="C54" i="2"/>
  <c r="D54" i="2" s="1"/>
  <c r="C53" i="2"/>
  <c r="D53" i="2" s="1"/>
  <c r="C51" i="2"/>
  <c r="D51" i="2" s="1"/>
  <c r="C50" i="2"/>
  <c r="D50" i="2" s="1"/>
  <c r="C54" i="1"/>
  <c r="D54" i="1" s="1"/>
  <c r="C53" i="1"/>
  <c r="D53" i="1" s="1"/>
  <c r="C51" i="1"/>
  <c r="D51" i="1" s="1"/>
  <c r="C50" i="1"/>
  <c r="D50" i="1" s="1"/>
  <c r="D35" i="6"/>
  <c r="E35" i="6" s="1"/>
  <c r="B44" i="6" s="1"/>
  <c r="D44" i="6" s="1"/>
  <c r="D34" i="6"/>
  <c r="E34" i="6" s="1"/>
  <c r="B43" i="6" s="1"/>
  <c r="D43" i="6" s="1"/>
  <c r="D33" i="6"/>
  <c r="E33" i="6" s="1"/>
  <c r="D32" i="6"/>
  <c r="E32" i="6" s="1"/>
  <c r="D31" i="6"/>
  <c r="E31" i="6" s="1"/>
  <c r="D30" i="6"/>
  <c r="E30" i="6" s="1"/>
  <c r="D29" i="6"/>
  <c r="E29" i="6" s="1"/>
  <c r="D28" i="6"/>
  <c r="E28" i="6" s="1"/>
  <c r="D27" i="6"/>
  <c r="E27" i="6" s="1"/>
  <c r="D26" i="6"/>
  <c r="E26" i="6" s="1"/>
  <c r="D25" i="6"/>
  <c r="E25" i="6" s="1"/>
  <c r="D24" i="6"/>
  <c r="E24" i="6" s="1"/>
  <c r="D23" i="6"/>
  <c r="E23" i="6" s="1"/>
  <c r="D22" i="6"/>
  <c r="E22" i="6" s="1"/>
  <c r="D21" i="6"/>
  <c r="E21" i="6" s="1"/>
  <c r="D20" i="6"/>
  <c r="E20" i="6" s="1"/>
  <c r="E16" i="6"/>
  <c r="E15" i="6"/>
  <c r="E14" i="6"/>
  <c r="E13" i="6"/>
  <c r="E12" i="6"/>
  <c r="E11" i="6"/>
  <c r="E10" i="6"/>
  <c r="E6" i="6"/>
  <c r="E5" i="6"/>
  <c r="E4" i="6"/>
  <c r="E3" i="6"/>
  <c r="D35" i="5"/>
  <c r="E35" i="5" s="1"/>
  <c r="B44" i="5" s="1"/>
  <c r="D44" i="5" s="1"/>
  <c r="D34" i="5"/>
  <c r="E34" i="5" s="1"/>
  <c r="B43" i="5" s="1"/>
  <c r="D43" i="5" s="1"/>
  <c r="D33" i="5"/>
  <c r="D32" i="5"/>
  <c r="E32" i="5" s="1"/>
  <c r="D31" i="5"/>
  <c r="E31" i="5" s="1"/>
  <c r="D30" i="5"/>
  <c r="E30" i="5" s="1"/>
  <c r="D29" i="5"/>
  <c r="E29" i="5" s="1"/>
  <c r="D28" i="5"/>
  <c r="E28" i="5" s="1"/>
  <c r="D27" i="5"/>
  <c r="E27" i="5" s="1"/>
  <c r="D26" i="5"/>
  <c r="E26" i="5" s="1"/>
  <c r="D25" i="5"/>
  <c r="E25" i="5" s="1"/>
  <c r="D24" i="5"/>
  <c r="E24" i="5" s="1"/>
  <c r="D23" i="5"/>
  <c r="E23" i="5" s="1"/>
  <c r="D22" i="5"/>
  <c r="E22" i="5" s="1"/>
  <c r="D21" i="5"/>
  <c r="E21" i="5" s="1"/>
  <c r="D20" i="5"/>
  <c r="E20" i="5" s="1"/>
  <c r="E16" i="5"/>
  <c r="E15" i="5"/>
  <c r="E14" i="5"/>
  <c r="E13" i="5"/>
  <c r="E12" i="5"/>
  <c r="E11" i="5"/>
  <c r="E10" i="5"/>
  <c r="E6" i="5"/>
  <c r="E5" i="5"/>
  <c r="E4" i="5"/>
  <c r="E3" i="5"/>
  <c r="D35" i="4"/>
  <c r="E35" i="4" s="1"/>
  <c r="B44" i="4" s="1"/>
  <c r="D44" i="4" s="1"/>
  <c r="D34" i="4"/>
  <c r="E34" i="4" s="1"/>
  <c r="B43" i="4" s="1"/>
  <c r="D43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E16" i="4"/>
  <c r="E15" i="4"/>
  <c r="E14" i="4"/>
  <c r="E13" i="4"/>
  <c r="E12" i="4"/>
  <c r="E11" i="4"/>
  <c r="E10" i="4"/>
  <c r="E6" i="4"/>
  <c r="E5" i="4"/>
  <c r="E4" i="4"/>
  <c r="E3" i="4"/>
  <c r="D35" i="3"/>
  <c r="E35" i="3" s="1"/>
  <c r="B44" i="3" s="1"/>
  <c r="D44" i="3" s="1"/>
  <c r="D34" i="3"/>
  <c r="E34" i="3" s="1"/>
  <c r="B43" i="3" s="1"/>
  <c r="D43" i="3" s="1"/>
  <c r="D33" i="3"/>
  <c r="E33" i="3" s="1"/>
  <c r="D32" i="3"/>
  <c r="E32" i="3" s="1"/>
  <c r="D31" i="3"/>
  <c r="E31" i="3" s="1"/>
  <c r="D30" i="3"/>
  <c r="E30" i="3" s="1"/>
  <c r="D29" i="3"/>
  <c r="E29" i="3" s="1"/>
  <c r="D28" i="3"/>
  <c r="E28" i="3" s="1"/>
  <c r="D27" i="3"/>
  <c r="E27" i="3" s="1"/>
  <c r="D26" i="3"/>
  <c r="E26" i="3" s="1"/>
  <c r="D25" i="3"/>
  <c r="E25" i="3" s="1"/>
  <c r="D24" i="3"/>
  <c r="E24" i="3" s="1"/>
  <c r="D23" i="3"/>
  <c r="E23" i="3" s="1"/>
  <c r="D22" i="3"/>
  <c r="E22" i="3" s="1"/>
  <c r="D21" i="3"/>
  <c r="E21" i="3" s="1"/>
  <c r="D20" i="3"/>
  <c r="E20" i="3" s="1"/>
  <c r="E16" i="3"/>
  <c r="E15" i="3"/>
  <c r="E14" i="3"/>
  <c r="E13" i="3"/>
  <c r="E12" i="3"/>
  <c r="E11" i="3"/>
  <c r="E10" i="3"/>
  <c r="E6" i="3"/>
  <c r="E5" i="3"/>
  <c r="E4" i="3"/>
  <c r="E3" i="3"/>
  <c r="E5" i="2"/>
  <c r="D26" i="2"/>
  <c r="E26" i="2" s="1"/>
  <c r="D23" i="2"/>
  <c r="E23" i="2" s="1"/>
  <c r="D22" i="2"/>
  <c r="E22" i="2" s="1"/>
  <c r="D21" i="2"/>
  <c r="E21" i="2" s="1"/>
  <c r="D20" i="2"/>
  <c r="E20" i="2" s="1"/>
  <c r="D23" i="1"/>
  <c r="E23" i="1" s="1"/>
  <c r="D35" i="2"/>
  <c r="E35" i="2" s="1"/>
  <c r="B44" i="2" s="1"/>
  <c r="D44" i="2" s="1"/>
  <c r="D34" i="2"/>
  <c r="E34" i="2" s="1"/>
  <c r="B43" i="2" s="1"/>
  <c r="D43" i="2" s="1"/>
  <c r="D33" i="2"/>
  <c r="E33" i="2" s="1"/>
  <c r="D32" i="2"/>
  <c r="E32" i="2" s="1"/>
  <c r="D31" i="2"/>
  <c r="E31" i="2" s="1"/>
  <c r="D30" i="2"/>
  <c r="E30" i="2" s="1"/>
  <c r="D29" i="2"/>
  <c r="E29" i="2" s="1"/>
  <c r="D28" i="2"/>
  <c r="E28" i="2" s="1"/>
  <c r="D27" i="2"/>
  <c r="E27" i="2" s="1"/>
  <c r="D25" i="2"/>
  <c r="E25" i="2" s="1"/>
  <c r="D24" i="2"/>
  <c r="E24" i="2" s="1"/>
  <c r="E16" i="2"/>
  <c r="E15" i="2"/>
  <c r="E14" i="2"/>
  <c r="E13" i="2"/>
  <c r="E12" i="2"/>
  <c r="E11" i="2"/>
  <c r="E10" i="2"/>
  <c r="E6" i="2"/>
  <c r="E4" i="2"/>
  <c r="E3" i="2"/>
  <c r="D35" i="1"/>
  <c r="E35" i="1" s="1"/>
  <c r="B44" i="1" s="1"/>
  <c r="D44" i="1" s="1"/>
  <c r="D34" i="1"/>
  <c r="D33" i="1"/>
  <c r="D32" i="1"/>
  <c r="E32" i="1" s="1"/>
  <c r="D31" i="1"/>
  <c r="E31" i="1" s="1"/>
  <c r="D30" i="1"/>
  <c r="E30" i="1" s="1"/>
  <c r="D29" i="1"/>
  <c r="E29" i="1" s="1"/>
  <c r="D28" i="1"/>
  <c r="E28" i="1" s="1"/>
  <c r="D27" i="1"/>
  <c r="E27" i="1" s="1"/>
  <c r="D26" i="1"/>
  <c r="E26" i="1" s="1"/>
  <c r="D25" i="1"/>
  <c r="E25" i="1" s="1"/>
  <c r="D24" i="1"/>
  <c r="E24" i="1" s="1"/>
  <c r="D22" i="1"/>
  <c r="E22" i="1" s="1"/>
  <c r="D21" i="1"/>
  <c r="E21" i="1" s="1"/>
  <c r="D20" i="1"/>
  <c r="E20" i="1" s="1"/>
  <c r="B42" i="4" l="1"/>
  <c r="D42" i="4" s="1"/>
  <c r="B41" i="4"/>
  <c r="D41" i="4" s="1"/>
  <c r="B40" i="4"/>
  <c r="D40" i="4" s="1"/>
  <c r="B56" i="4"/>
  <c r="B56" i="1"/>
  <c r="E33" i="5"/>
  <c r="E33" i="1"/>
  <c r="B39" i="2"/>
  <c r="D39" i="2" s="1"/>
  <c r="B39" i="6"/>
  <c r="D39" i="6" s="1"/>
  <c r="B56" i="6"/>
  <c r="B56" i="2"/>
  <c r="B56" i="3"/>
  <c r="B56" i="5"/>
  <c r="B42" i="3"/>
  <c r="D42" i="3" s="1"/>
  <c r="B39" i="5"/>
  <c r="D39" i="5" s="1"/>
  <c r="B42" i="6"/>
  <c r="D42" i="6" s="1"/>
  <c r="B40" i="6"/>
  <c r="D40" i="6" s="1"/>
  <c r="B41" i="6"/>
  <c r="D41" i="6" s="1"/>
  <c r="B42" i="5"/>
  <c r="D42" i="5" s="1"/>
  <c r="B41" i="5"/>
  <c r="D41" i="5" s="1"/>
  <c r="B40" i="5"/>
  <c r="D40" i="5" s="1"/>
  <c r="B39" i="4"/>
  <c r="D39" i="4" s="1"/>
  <c r="B39" i="3"/>
  <c r="B41" i="3"/>
  <c r="D41" i="3" s="1"/>
  <c r="B42" i="2"/>
  <c r="D42" i="2" s="1"/>
  <c r="B40" i="2"/>
  <c r="D40" i="2" s="1"/>
  <c r="B41" i="2"/>
  <c r="D41" i="2" s="1"/>
  <c r="B39" i="1"/>
  <c r="D39" i="1" s="1"/>
  <c r="B41" i="1"/>
  <c r="D41" i="1" s="1"/>
  <c r="B42" i="1"/>
  <c r="D42" i="1" s="1"/>
  <c r="E34" i="1" l="1"/>
  <c r="B43" i="1" s="1"/>
  <c r="D43" i="1" s="1"/>
  <c r="E4" i="1"/>
  <c r="E5" i="1"/>
  <c r="E6" i="1"/>
  <c r="E10" i="1"/>
  <c r="E11" i="1"/>
  <c r="E12" i="1"/>
  <c r="E13" i="1"/>
  <c r="E14" i="1"/>
  <c r="E15" i="1"/>
  <c r="E16" i="1"/>
  <c r="E3" i="1"/>
  <c r="B40" i="1" l="1"/>
  <c r="D40" i="1" s="1"/>
</calcChain>
</file>

<file path=xl/sharedStrings.xml><?xml version="1.0" encoding="utf-8"?>
<sst xmlns="http://schemas.openxmlformats.org/spreadsheetml/2006/main" count="420" uniqueCount="59">
  <si>
    <t>Primary N addition compounds</t>
  </si>
  <si>
    <t>compound</t>
  </si>
  <si>
    <t>M</t>
  </si>
  <si>
    <t>mg/mol</t>
  </si>
  <si>
    <t>ml per L</t>
  </si>
  <si>
    <r>
      <t>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</si>
  <si>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KNO</t>
    </r>
    <r>
      <rPr>
        <vertAlign val="subscript"/>
        <sz val="12"/>
        <color theme="1"/>
        <rFont val="Calibri (Body)"/>
      </rPr>
      <t>3</t>
    </r>
  </si>
  <si>
    <r>
      <t>Ca(NO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>)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 xml:space="preserve"> * 4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</si>
  <si>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r>
      <t>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NO</t>
    </r>
    <r>
      <rPr>
        <vertAlign val="subscript"/>
        <sz val="12"/>
        <color theme="1"/>
        <rFont val="Calibri (Body)"/>
      </rPr>
      <t>3</t>
    </r>
  </si>
  <si>
    <t>Supplemental macros &amp; micros</t>
  </si>
  <si>
    <r>
      <t>KH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</si>
  <si>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t>KCl</t>
  </si>
  <si>
    <r>
      <t>CaCO</t>
    </r>
    <r>
      <rPr>
        <vertAlign val="subscript"/>
        <sz val="12"/>
        <color theme="1"/>
        <rFont val="Calibri (Body)"/>
      </rPr>
      <t>3</t>
    </r>
  </si>
  <si>
    <r>
      <t>MgSO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 xml:space="preserve"> * 7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</si>
  <si>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t>10% Fe-EDTA</t>
  </si>
  <si>
    <t>Trace elements</t>
  </si>
  <si>
    <r>
      <t>CaCl</t>
    </r>
    <r>
      <rPr>
        <vertAlign val="subscript"/>
        <sz val="12"/>
        <color theme="1"/>
        <rFont val="Aptos Narrow (Body)"/>
      </rPr>
      <t>2</t>
    </r>
  </si>
  <si>
    <t>ppm</t>
  </si>
  <si>
    <t>NA</t>
  </si>
  <si>
    <t>Individual NPK ppm</t>
  </si>
  <si>
    <t>element</t>
  </si>
  <si>
    <r>
      <t>N from 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</si>
  <si>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P from 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</si>
  <si>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K from KNO</t>
    </r>
    <r>
      <rPr>
        <vertAlign val="subscript"/>
        <sz val="12"/>
        <color theme="1"/>
        <rFont val="Calibri (Body)"/>
      </rPr>
      <t>3</t>
    </r>
  </si>
  <si>
    <r>
      <t>N from KNO</t>
    </r>
    <r>
      <rPr>
        <vertAlign val="subscript"/>
        <sz val="12"/>
        <color theme="1"/>
        <rFont val="Calibri (Body)"/>
      </rPr>
      <t>3</t>
    </r>
  </si>
  <si>
    <r>
      <t>Ca from Ca(NO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>)</t>
    </r>
    <r>
      <rPr>
        <vertAlign val="subscript"/>
        <sz val="12"/>
        <color theme="1"/>
        <rFont val="Calibri (Body)"/>
      </rPr>
      <t>2</t>
    </r>
  </si>
  <si>
    <r>
      <t>N from Ca(NO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>)</t>
    </r>
    <r>
      <rPr>
        <vertAlign val="subscript"/>
        <sz val="12"/>
        <color theme="1"/>
        <rFont val="Calibri (Body)"/>
      </rPr>
      <t>2</t>
    </r>
  </si>
  <si>
    <r>
      <t>N from 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NO</t>
    </r>
    <r>
      <rPr>
        <vertAlign val="subscript"/>
        <sz val="12"/>
        <color theme="1"/>
        <rFont val="Calibri (Body)"/>
      </rPr>
      <t>3</t>
    </r>
  </si>
  <si>
    <r>
      <t>K from KH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</si>
  <si>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P from KH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</si>
  <si>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t>K from KCl</t>
  </si>
  <si>
    <t>Cl from KCl</t>
  </si>
  <si>
    <r>
      <t>Ca from CaCO</t>
    </r>
    <r>
      <rPr>
        <vertAlign val="subscript"/>
        <sz val="12"/>
        <color theme="1"/>
        <rFont val="Calibri (Body)"/>
      </rPr>
      <t>3</t>
    </r>
  </si>
  <si>
    <r>
      <t>Mg from MgSO</t>
    </r>
    <r>
      <rPr>
        <vertAlign val="subscript"/>
        <sz val="12"/>
        <color theme="1"/>
        <rFont val="Calibri (Body)"/>
      </rPr>
      <t>4</t>
    </r>
  </si>
  <si>
    <t>N</t>
  </si>
  <si>
    <t>P</t>
  </si>
  <si>
    <t>K</t>
  </si>
  <si>
    <t>Ca</t>
  </si>
  <si>
    <t>Mg</t>
  </si>
  <si>
    <t>S</t>
  </si>
  <si>
    <r>
      <t>S from MgSO</t>
    </r>
    <r>
      <rPr>
        <vertAlign val="subscript"/>
        <sz val="12"/>
        <color theme="1"/>
        <rFont val="Calibri (Body)"/>
      </rPr>
      <t>4</t>
    </r>
  </si>
  <si>
    <t>macro</t>
  </si>
  <si>
    <t>Total macronutrient ppm</t>
  </si>
  <si>
    <t>Ca from CaCl2</t>
  </si>
  <si>
    <t>Cl from CaCl2</t>
  </si>
  <si>
    <t>standard_ppm</t>
  </si>
  <si>
    <t>delta</t>
  </si>
  <si>
    <t>Projected pH:</t>
  </si>
  <si>
    <t>Projected pH range:</t>
  </si>
  <si>
    <t>Calculate NH4:NO3 ratio</t>
  </si>
  <si>
    <t>mL per L</t>
  </si>
  <si>
    <t>mM</t>
  </si>
  <si>
    <t>NH4 from NH4H2PO4</t>
  </si>
  <si>
    <t>NO3 from KNO3</t>
  </si>
  <si>
    <t>NO3 from Ca(NO3)2</t>
  </si>
  <si>
    <t>NH4 from NH4NO3</t>
  </si>
  <si>
    <t>NO3 from NH4NO3</t>
  </si>
  <si>
    <t>NH4:NO3 ratio</t>
  </si>
  <si>
    <t>target_ppm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</si>
</sst>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vertAlign val="subscript"/>
      <sz val="12"/>
      <color theme="1"/>
      <name val="Calibri (Body)"/>
    </font>
    <font>
      <vertAlign val="subscript"/>
      <sz val="12"/>
      <color theme="1"/>
      <name val="Aptos Narrow (Body)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  <xf numFmtId="0" fontId="4" fillId="0" borderId="0" xfId="0" applyFont="1"/>
    <xf numFmtId="0" fontId="5" fillId="0" borderId="0" xfId="0" applyFont="1"/>
    <xf numFmtId="165" fontId="0" fillId="0" borderId="0" xfId="0" applyNumberFormat="1"/>
    <xf numFmtId="2" fontId="0" fillId="0" borderId="0" xfId="0" applyNumberFormat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9FAAB-8098-D94B-8628-DB10C053BFE5}">
  <dimension ref="A1:E56"/>
  <sheetViews>
    <sheetView topLeftCell="A32" zoomScale="248" zoomScaleNormal="230" workbookViewId="0">
      <selection activeCell="C38" sqref="C38"/>
    </sheetView>
  </sheetViews>
  <sheetFormatPr baseColWidth="10" defaultRowHeight="16" x14ac:dyDescent="0.2"/>
  <cols>
    <col min="1" max="1" width="19.6640625" customWidth="1"/>
    <col min="2" max="2" width="5.6640625" bestFit="1" customWidth="1"/>
    <col min="3" max="3" width="12.6640625" bestFit="1" customWidth="1"/>
  </cols>
  <sheetData>
    <row r="1" spans="1:5" x14ac:dyDescent="0.2">
      <c r="A1" s="1" t="s">
        <v>0</v>
      </c>
      <c r="B1" s="1"/>
    </row>
    <row r="2" spans="1:5" x14ac:dyDescent="0.2">
      <c r="A2" t="s">
        <v>1</v>
      </c>
      <c r="B2" t="s">
        <v>2</v>
      </c>
      <c r="C2" t="s">
        <v>3</v>
      </c>
      <c r="D2" t="s">
        <v>4</v>
      </c>
      <c r="E2" t="s">
        <v>17</v>
      </c>
    </row>
    <row r="3" spans="1:5" ht="18" x14ac:dyDescent="0.25">
      <c r="A3" t="s">
        <v>5</v>
      </c>
      <c r="B3">
        <v>1</v>
      </c>
      <c r="C3">
        <v>115.3</v>
      </c>
      <c r="D3">
        <v>0</v>
      </c>
      <c r="E3" s="2">
        <f>IFERROR((C3*1000)/(1000/(B3*D3)), 0)</f>
        <v>0</v>
      </c>
    </row>
    <row r="4" spans="1:5" ht="18" x14ac:dyDescent="0.25">
      <c r="A4" t="s">
        <v>6</v>
      </c>
      <c r="B4">
        <v>2</v>
      </c>
      <c r="C4">
        <v>101.1</v>
      </c>
      <c r="D4">
        <v>0.6</v>
      </c>
      <c r="E4" s="2">
        <f t="shared" ref="E4:E16" si="0">IFERROR((C4*1000)/(1000/(B4*D4)), 0)</f>
        <v>121.32</v>
      </c>
    </row>
    <row r="5" spans="1:5" ht="18" x14ac:dyDescent="0.25">
      <c r="A5" t="s">
        <v>7</v>
      </c>
      <c r="B5">
        <v>2</v>
      </c>
      <c r="C5">
        <v>164.08799999999999</v>
      </c>
      <c r="D5">
        <v>0.45</v>
      </c>
      <c r="E5" s="2">
        <f t="shared" si="0"/>
        <v>147.67920000000001</v>
      </c>
    </row>
    <row r="6" spans="1:5" ht="18" x14ac:dyDescent="0.25">
      <c r="A6" t="s">
        <v>8</v>
      </c>
      <c r="B6">
        <v>1</v>
      </c>
      <c r="C6">
        <v>80.043000000000006</v>
      </c>
      <c r="D6">
        <v>1</v>
      </c>
      <c r="E6" s="2">
        <f t="shared" si="0"/>
        <v>80.043000000000006</v>
      </c>
    </row>
    <row r="7" spans="1:5" x14ac:dyDescent="0.2">
      <c r="E7" s="2"/>
    </row>
    <row r="8" spans="1:5" x14ac:dyDescent="0.2">
      <c r="A8" s="1" t="s">
        <v>9</v>
      </c>
      <c r="E8" s="2"/>
    </row>
    <row r="9" spans="1:5" x14ac:dyDescent="0.2">
      <c r="A9" t="s">
        <v>1</v>
      </c>
      <c r="B9" t="s">
        <v>2</v>
      </c>
      <c r="C9" t="s">
        <v>3</v>
      </c>
      <c r="D9" t="s">
        <v>4</v>
      </c>
      <c r="E9" s="2" t="s">
        <v>17</v>
      </c>
    </row>
    <row r="10" spans="1:5" ht="18" x14ac:dyDescent="0.25">
      <c r="A10" t="s">
        <v>10</v>
      </c>
      <c r="B10">
        <v>1</v>
      </c>
      <c r="C10">
        <v>136.08600000000001</v>
      </c>
      <c r="D10">
        <v>0</v>
      </c>
      <c r="E10" s="2">
        <f t="shared" si="0"/>
        <v>0</v>
      </c>
    </row>
    <row r="11" spans="1:5" x14ac:dyDescent="0.2">
      <c r="A11" t="s">
        <v>11</v>
      </c>
      <c r="B11">
        <v>1</v>
      </c>
      <c r="C11">
        <v>74.555000000000007</v>
      </c>
      <c r="D11">
        <v>2.8</v>
      </c>
      <c r="E11" s="2">
        <f t="shared" si="0"/>
        <v>208.75399999999999</v>
      </c>
    </row>
    <row r="12" spans="1:5" ht="18" x14ac:dyDescent="0.25">
      <c r="A12" t="s">
        <v>12</v>
      </c>
      <c r="B12">
        <v>1</v>
      </c>
      <c r="C12">
        <v>100.087</v>
      </c>
      <c r="D12">
        <v>0</v>
      </c>
      <c r="E12" s="2">
        <f t="shared" si="0"/>
        <v>0</v>
      </c>
    </row>
    <row r="13" spans="1:5" ht="18" x14ac:dyDescent="0.25">
      <c r="A13" t="s">
        <v>16</v>
      </c>
      <c r="B13">
        <v>1</v>
      </c>
      <c r="C13">
        <v>110.98</v>
      </c>
      <c r="D13">
        <v>3.1</v>
      </c>
      <c r="E13" s="2">
        <f t="shared" si="0"/>
        <v>344.03800000000001</v>
      </c>
    </row>
    <row r="14" spans="1:5" ht="18" x14ac:dyDescent="0.25">
      <c r="A14" t="s">
        <v>13</v>
      </c>
      <c r="B14">
        <v>2</v>
      </c>
      <c r="C14">
        <v>246.48</v>
      </c>
      <c r="D14">
        <v>1</v>
      </c>
      <c r="E14" s="2">
        <f t="shared" si="0"/>
        <v>492.96</v>
      </c>
    </row>
    <row r="15" spans="1:5" x14ac:dyDescent="0.2">
      <c r="A15" t="s">
        <v>14</v>
      </c>
      <c r="B15">
        <v>1</v>
      </c>
      <c r="C15" t="s">
        <v>18</v>
      </c>
      <c r="D15">
        <v>1</v>
      </c>
      <c r="E15" s="2">
        <f t="shared" si="0"/>
        <v>0</v>
      </c>
    </row>
    <row r="16" spans="1:5" x14ac:dyDescent="0.2">
      <c r="A16" t="s">
        <v>15</v>
      </c>
      <c r="B16">
        <v>1</v>
      </c>
      <c r="C16" t="s">
        <v>18</v>
      </c>
      <c r="D16">
        <v>1</v>
      </c>
      <c r="E16" s="2">
        <f t="shared" si="0"/>
        <v>0</v>
      </c>
    </row>
    <row r="18" spans="1:5" x14ac:dyDescent="0.2">
      <c r="A18" s="1" t="s">
        <v>19</v>
      </c>
    </row>
    <row r="19" spans="1:5" x14ac:dyDescent="0.2">
      <c r="A19" t="s">
        <v>20</v>
      </c>
      <c r="B19" t="s">
        <v>2</v>
      </c>
      <c r="C19" t="s">
        <v>3</v>
      </c>
      <c r="D19" t="s">
        <v>4</v>
      </c>
      <c r="E19" t="s">
        <v>17</v>
      </c>
    </row>
    <row r="20" spans="1:5" ht="18" x14ac:dyDescent="0.25">
      <c r="A20" t="s">
        <v>21</v>
      </c>
      <c r="B20">
        <v>1</v>
      </c>
      <c r="C20">
        <v>14.006</v>
      </c>
      <c r="D20">
        <f>D3</f>
        <v>0</v>
      </c>
      <c r="E20" s="2">
        <f t="shared" ref="E20:E31" si="1">IFERROR((C20*1000)/(1000/(B20*D20)), 0)</f>
        <v>0</v>
      </c>
    </row>
    <row r="21" spans="1:5" ht="18" x14ac:dyDescent="0.25">
      <c r="A21" t="s">
        <v>22</v>
      </c>
      <c r="B21">
        <v>1</v>
      </c>
      <c r="C21">
        <v>30.973700000000001</v>
      </c>
      <c r="D21">
        <f>D3</f>
        <v>0</v>
      </c>
      <c r="E21" s="2">
        <f t="shared" si="1"/>
        <v>0</v>
      </c>
    </row>
    <row r="22" spans="1:5" ht="18" x14ac:dyDescent="0.25">
      <c r="A22" t="s">
        <v>23</v>
      </c>
      <c r="B22">
        <v>2</v>
      </c>
      <c r="C22">
        <v>39.094299999999997</v>
      </c>
      <c r="D22">
        <f>D4</f>
        <v>0.6</v>
      </c>
      <c r="E22" s="2">
        <f t="shared" si="1"/>
        <v>46.913159999999991</v>
      </c>
    </row>
    <row r="23" spans="1:5" ht="18" x14ac:dyDescent="0.25">
      <c r="A23" t="s">
        <v>24</v>
      </c>
      <c r="B23">
        <v>2</v>
      </c>
      <c r="C23">
        <v>14.006</v>
      </c>
      <c r="D23">
        <f>D4</f>
        <v>0.6</v>
      </c>
      <c r="E23" s="2">
        <f t="shared" si="1"/>
        <v>16.807199999999998</v>
      </c>
    </row>
    <row r="24" spans="1:5" ht="18" x14ac:dyDescent="0.25">
      <c r="A24" t="s">
        <v>25</v>
      </c>
      <c r="B24">
        <v>2</v>
      </c>
      <c r="C24">
        <v>40.078000000000003</v>
      </c>
      <c r="D24">
        <f>D5</f>
        <v>0.45</v>
      </c>
      <c r="E24" s="2">
        <f t="shared" si="1"/>
        <v>36.0702</v>
      </c>
    </row>
    <row r="25" spans="1:5" ht="18" x14ac:dyDescent="0.25">
      <c r="A25" t="s">
        <v>26</v>
      </c>
      <c r="B25">
        <v>2</v>
      </c>
      <c r="C25">
        <v>28.012</v>
      </c>
      <c r="D25">
        <f>D5</f>
        <v>0.45</v>
      </c>
      <c r="E25" s="2">
        <f t="shared" si="1"/>
        <v>25.210799999999999</v>
      </c>
    </row>
    <row r="26" spans="1:5" ht="18" x14ac:dyDescent="0.25">
      <c r="A26" t="s">
        <v>27</v>
      </c>
      <c r="B26">
        <v>1</v>
      </c>
      <c r="C26">
        <v>28.012</v>
      </c>
      <c r="D26">
        <f>D6</f>
        <v>1</v>
      </c>
      <c r="E26" s="2">
        <f t="shared" si="1"/>
        <v>28.012</v>
      </c>
    </row>
    <row r="27" spans="1:5" ht="18" x14ac:dyDescent="0.25">
      <c r="A27" t="s">
        <v>28</v>
      </c>
      <c r="B27">
        <v>1</v>
      </c>
      <c r="C27">
        <v>39.094299999999997</v>
      </c>
      <c r="D27">
        <f>D10</f>
        <v>0</v>
      </c>
      <c r="E27" s="2">
        <f t="shared" si="1"/>
        <v>0</v>
      </c>
    </row>
    <row r="28" spans="1:5" ht="18" x14ac:dyDescent="0.25">
      <c r="A28" t="s">
        <v>29</v>
      </c>
      <c r="B28">
        <v>1</v>
      </c>
      <c r="C28">
        <v>30.973700000000001</v>
      </c>
      <c r="D28">
        <f>D10</f>
        <v>0</v>
      </c>
      <c r="E28" s="2">
        <f t="shared" si="1"/>
        <v>0</v>
      </c>
    </row>
    <row r="29" spans="1:5" x14ac:dyDescent="0.2">
      <c r="A29" t="s">
        <v>30</v>
      </c>
      <c r="B29">
        <v>1</v>
      </c>
      <c r="C29">
        <v>39.094299999999997</v>
      </c>
      <c r="D29">
        <f>D11</f>
        <v>2.8</v>
      </c>
      <c r="E29" s="2">
        <f t="shared" si="1"/>
        <v>109.46403999999998</v>
      </c>
    </row>
    <row r="30" spans="1:5" x14ac:dyDescent="0.2">
      <c r="A30" t="s">
        <v>31</v>
      </c>
      <c r="B30">
        <v>1</v>
      </c>
      <c r="C30">
        <v>35.453000000000003</v>
      </c>
      <c r="D30">
        <f>D11</f>
        <v>2.8</v>
      </c>
      <c r="E30" s="2">
        <f t="shared" si="1"/>
        <v>99.2684</v>
      </c>
    </row>
    <row r="31" spans="1:5" ht="18" x14ac:dyDescent="0.25">
      <c r="A31" t="s">
        <v>32</v>
      </c>
      <c r="B31">
        <v>1</v>
      </c>
      <c r="C31">
        <v>40.078000000000003</v>
      </c>
      <c r="D31">
        <f>D12</f>
        <v>0</v>
      </c>
      <c r="E31" s="2">
        <f t="shared" si="1"/>
        <v>0</v>
      </c>
    </row>
    <row r="32" spans="1:5" x14ac:dyDescent="0.2">
      <c r="A32" t="s">
        <v>43</v>
      </c>
      <c r="B32">
        <v>1</v>
      </c>
      <c r="C32">
        <v>40.078000000000003</v>
      </c>
      <c r="D32">
        <f>D13</f>
        <v>3.1</v>
      </c>
      <c r="E32" s="2">
        <f t="shared" ref="E32:E33" si="2">IFERROR((C32*1000)/(1000/(B32*D32)), 0)</f>
        <v>124.24180000000001</v>
      </c>
    </row>
    <row r="33" spans="1:5" x14ac:dyDescent="0.2">
      <c r="A33" t="s">
        <v>44</v>
      </c>
      <c r="B33">
        <v>1</v>
      </c>
      <c r="C33">
        <f>C30*2</f>
        <v>70.906000000000006</v>
      </c>
      <c r="D33">
        <f>D13</f>
        <v>3.1</v>
      </c>
      <c r="E33" s="2">
        <f t="shared" si="2"/>
        <v>219.80860000000001</v>
      </c>
    </row>
    <row r="34" spans="1:5" ht="18" x14ac:dyDescent="0.25">
      <c r="A34" t="s">
        <v>33</v>
      </c>
      <c r="B34">
        <v>2</v>
      </c>
      <c r="C34">
        <v>24.305</v>
      </c>
      <c r="D34">
        <f>D14</f>
        <v>1</v>
      </c>
      <c r="E34" s="2">
        <f t="shared" ref="E34" si="3">IFERROR((C34*1000)/(1000/(B34*D34)), 0)</f>
        <v>48.61</v>
      </c>
    </row>
    <row r="35" spans="1:5" ht="18" x14ac:dyDescent="0.25">
      <c r="A35" t="s">
        <v>40</v>
      </c>
      <c r="B35">
        <v>2</v>
      </c>
      <c r="C35">
        <v>32.064999999999998</v>
      </c>
      <c r="D35">
        <f>D14</f>
        <v>1</v>
      </c>
      <c r="E35" s="2">
        <f>IFERROR((C35*1000)/(1000/(B35*D35)), 0)</f>
        <v>64.13</v>
      </c>
    </row>
    <row r="37" spans="1:5" x14ac:dyDescent="0.2">
      <c r="A37" s="1" t="s">
        <v>42</v>
      </c>
    </row>
    <row r="38" spans="1:5" x14ac:dyDescent="0.2">
      <c r="A38" t="s">
        <v>41</v>
      </c>
      <c r="B38" t="s">
        <v>17</v>
      </c>
      <c r="C38" t="s">
        <v>58</v>
      </c>
      <c r="D38" t="s">
        <v>46</v>
      </c>
    </row>
    <row r="39" spans="1:5" x14ac:dyDescent="0.2">
      <c r="A39" t="s">
        <v>34</v>
      </c>
      <c r="B39" s="2">
        <f>SUM(E20,E23,E25,E26)</f>
        <v>70.03</v>
      </c>
      <c r="C39" s="2">
        <v>70</v>
      </c>
      <c r="D39" s="2">
        <f t="shared" ref="D39:D44" si="4">C39-B39</f>
        <v>-3.0000000000001137E-2</v>
      </c>
    </row>
    <row r="40" spans="1:5" x14ac:dyDescent="0.2">
      <c r="A40" t="s">
        <v>35</v>
      </c>
      <c r="B40" s="2">
        <f>SUM(E21,E28)</f>
        <v>0</v>
      </c>
      <c r="C40" s="2">
        <v>0</v>
      </c>
      <c r="D40" s="2">
        <f t="shared" si="4"/>
        <v>0</v>
      </c>
    </row>
    <row r="41" spans="1:5" x14ac:dyDescent="0.2">
      <c r="A41" t="s">
        <v>36</v>
      </c>
      <c r="B41" s="2">
        <f>SUM(E22,E27,E29)</f>
        <v>156.37719999999996</v>
      </c>
      <c r="C41">
        <v>156.4</v>
      </c>
      <c r="D41" s="2">
        <f t="shared" si="4"/>
        <v>2.2800000000046339E-2</v>
      </c>
    </row>
    <row r="42" spans="1:5" x14ac:dyDescent="0.2">
      <c r="A42" t="s">
        <v>37</v>
      </c>
      <c r="B42" s="2">
        <f>E31+E24+E32</f>
        <v>160.31200000000001</v>
      </c>
      <c r="C42">
        <v>160.30000000000001</v>
      </c>
      <c r="D42" s="2">
        <f t="shared" si="4"/>
        <v>-1.2000000000000455E-2</v>
      </c>
    </row>
    <row r="43" spans="1:5" x14ac:dyDescent="0.2">
      <c r="A43" t="s">
        <v>38</v>
      </c>
      <c r="B43" s="2">
        <f>E34</f>
        <v>48.61</v>
      </c>
      <c r="C43">
        <v>48.6</v>
      </c>
      <c r="D43" s="2">
        <f t="shared" si="4"/>
        <v>-9.9999999999980105E-3</v>
      </c>
    </row>
    <row r="44" spans="1:5" x14ac:dyDescent="0.2">
      <c r="A44" t="s">
        <v>39</v>
      </c>
      <c r="B44" s="2">
        <f>E35</f>
        <v>64.13</v>
      </c>
      <c r="C44">
        <v>64.099999999999994</v>
      </c>
      <c r="D44" s="2">
        <f t="shared" si="4"/>
        <v>-3.0000000000001137E-2</v>
      </c>
    </row>
    <row r="46" spans="1:5" x14ac:dyDescent="0.2">
      <c r="A46" s="3" t="s">
        <v>47</v>
      </c>
      <c r="B46" s="3">
        <v>6.1</v>
      </c>
    </row>
    <row r="48" spans="1:5" x14ac:dyDescent="0.2">
      <c r="A48" s="5" t="s">
        <v>49</v>
      </c>
    </row>
    <row r="49" spans="1:4" x14ac:dyDescent="0.2">
      <c r="A49" t="s">
        <v>20</v>
      </c>
      <c r="B49" t="s">
        <v>2</v>
      </c>
      <c r="C49" t="s">
        <v>50</v>
      </c>
      <c r="D49" t="s">
        <v>51</v>
      </c>
    </row>
    <row r="50" spans="1:4" x14ac:dyDescent="0.2">
      <c r="A50" t="s">
        <v>52</v>
      </c>
      <c r="B50">
        <v>1</v>
      </c>
      <c r="C50">
        <f>D3</f>
        <v>0</v>
      </c>
      <c r="D50">
        <f>B50*C50</f>
        <v>0</v>
      </c>
    </row>
    <row r="51" spans="1:4" x14ac:dyDescent="0.2">
      <c r="A51" t="s">
        <v>53</v>
      </c>
      <c r="B51">
        <v>2</v>
      </c>
      <c r="C51">
        <f>D4</f>
        <v>0.6</v>
      </c>
      <c r="D51">
        <f t="shared" ref="D51:D54" si="5">B51*C51</f>
        <v>1.2</v>
      </c>
    </row>
    <row r="52" spans="1:4" x14ac:dyDescent="0.2">
      <c r="A52" t="s">
        <v>54</v>
      </c>
      <c r="B52">
        <v>2</v>
      </c>
      <c r="C52">
        <f>D5</f>
        <v>0.45</v>
      </c>
      <c r="D52">
        <f>B52*C52*2</f>
        <v>1.8</v>
      </c>
    </row>
    <row r="53" spans="1:4" x14ac:dyDescent="0.2">
      <c r="A53" t="s">
        <v>55</v>
      </c>
      <c r="B53">
        <v>1</v>
      </c>
      <c r="C53">
        <f>D6</f>
        <v>1</v>
      </c>
      <c r="D53">
        <f t="shared" si="5"/>
        <v>1</v>
      </c>
    </row>
    <row r="54" spans="1:4" x14ac:dyDescent="0.2">
      <c r="A54" t="s">
        <v>56</v>
      </c>
      <c r="B54">
        <v>1</v>
      </c>
      <c r="C54">
        <f>D6</f>
        <v>1</v>
      </c>
      <c r="D54">
        <f t="shared" si="5"/>
        <v>1</v>
      </c>
    </row>
    <row r="56" spans="1:4" x14ac:dyDescent="0.2">
      <c r="A56" t="s">
        <v>57</v>
      </c>
      <c r="B56">
        <f>IFERROR((D50+D53)/(D51+D52+D54), 0)</f>
        <v>0.25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FEC2-0431-2C4C-BD04-E469597BD0C8}">
  <dimension ref="A1:E56"/>
  <sheetViews>
    <sheetView topLeftCell="A28" zoomScale="260" zoomScaleNormal="260" workbookViewId="0">
      <selection activeCell="D14" sqref="D14"/>
    </sheetView>
  </sheetViews>
  <sheetFormatPr baseColWidth="10" defaultRowHeight="16" x14ac:dyDescent="0.2"/>
  <cols>
    <col min="1" max="1" width="27.33203125" bestFit="1" customWidth="1"/>
  </cols>
  <sheetData>
    <row r="1" spans="1:5" x14ac:dyDescent="0.2">
      <c r="A1" s="1" t="s">
        <v>0</v>
      </c>
      <c r="B1" s="1"/>
    </row>
    <row r="2" spans="1:5" x14ac:dyDescent="0.2">
      <c r="A2" t="s">
        <v>1</v>
      </c>
      <c r="B2" t="s">
        <v>2</v>
      </c>
      <c r="C2" t="s">
        <v>3</v>
      </c>
      <c r="D2" t="s">
        <v>4</v>
      </c>
      <c r="E2" t="s">
        <v>17</v>
      </c>
    </row>
    <row r="3" spans="1:5" ht="18" x14ac:dyDescent="0.25">
      <c r="A3" t="s">
        <v>5</v>
      </c>
      <c r="B3">
        <v>1</v>
      </c>
      <c r="C3">
        <v>115.3</v>
      </c>
      <c r="D3">
        <v>0</v>
      </c>
      <c r="E3" s="2">
        <f>IFERROR((C3*1000)/(1000/(B3*D3)), 0)</f>
        <v>0</v>
      </c>
    </row>
    <row r="4" spans="1:5" ht="18" x14ac:dyDescent="0.25">
      <c r="A4" t="s">
        <v>6</v>
      </c>
      <c r="B4">
        <v>2</v>
      </c>
      <c r="C4">
        <v>101.1</v>
      </c>
      <c r="D4">
        <v>0.6</v>
      </c>
      <c r="E4" s="2">
        <f t="shared" ref="E4:E16" si="0">IFERROR((C4*1000)/(1000/(B4*D4)), 0)</f>
        <v>121.32</v>
      </c>
    </row>
    <row r="5" spans="1:5" ht="18" x14ac:dyDescent="0.25">
      <c r="A5" t="s">
        <v>7</v>
      </c>
      <c r="B5">
        <v>2</v>
      </c>
      <c r="C5">
        <v>164.08799999999999</v>
      </c>
      <c r="D5">
        <v>0.45</v>
      </c>
      <c r="E5" s="2">
        <f>IFERROR((C5*1000)/(1000/(B5*D5)), 0)</f>
        <v>147.67920000000001</v>
      </c>
    </row>
    <row r="6" spans="1:5" ht="18" x14ac:dyDescent="0.25">
      <c r="A6" t="s">
        <v>8</v>
      </c>
      <c r="B6">
        <v>1</v>
      </c>
      <c r="C6">
        <v>80.043000000000006</v>
      </c>
      <c r="D6">
        <v>1</v>
      </c>
      <c r="E6" s="2">
        <f t="shared" si="0"/>
        <v>80.043000000000006</v>
      </c>
    </row>
    <row r="7" spans="1:5" x14ac:dyDescent="0.2">
      <c r="E7" s="2"/>
    </row>
    <row r="8" spans="1:5" x14ac:dyDescent="0.2">
      <c r="A8" s="1" t="s">
        <v>9</v>
      </c>
      <c r="E8" s="2"/>
    </row>
    <row r="9" spans="1:5" x14ac:dyDescent="0.2">
      <c r="A9" t="s">
        <v>1</v>
      </c>
      <c r="B9" t="s">
        <v>2</v>
      </c>
      <c r="C9" t="s">
        <v>3</v>
      </c>
      <c r="D9" t="s">
        <v>4</v>
      </c>
      <c r="E9" s="2" t="s">
        <v>17</v>
      </c>
    </row>
    <row r="10" spans="1:5" ht="18" x14ac:dyDescent="0.25">
      <c r="A10" t="s">
        <v>10</v>
      </c>
      <c r="B10">
        <v>1</v>
      </c>
      <c r="C10">
        <v>136.08600000000001</v>
      </c>
      <c r="D10">
        <v>0.25</v>
      </c>
      <c r="E10" s="2">
        <f t="shared" si="0"/>
        <v>34.021500000000003</v>
      </c>
    </row>
    <row r="11" spans="1:5" x14ac:dyDescent="0.2">
      <c r="A11" t="s">
        <v>11</v>
      </c>
      <c r="B11">
        <v>1</v>
      </c>
      <c r="C11">
        <v>74.555000000000007</v>
      </c>
      <c r="D11">
        <v>2.5499999999999998</v>
      </c>
      <c r="E11" s="2">
        <f t="shared" si="0"/>
        <v>190.11524999999997</v>
      </c>
    </row>
    <row r="12" spans="1:5" ht="18" x14ac:dyDescent="0.25">
      <c r="A12" t="s">
        <v>12</v>
      </c>
      <c r="B12">
        <v>1</v>
      </c>
      <c r="C12">
        <v>100.087</v>
      </c>
      <c r="D12">
        <v>0</v>
      </c>
      <c r="E12" s="2">
        <f t="shared" si="0"/>
        <v>0</v>
      </c>
    </row>
    <row r="13" spans="1:5" ht="18" x14ac:dyDescent="0.25">
      <c r="A13" t="s">
        <v>16</v>
      </c>
      <c r="B13">
        <v>1</v>
      </c>
      <c r="C13">
        <v>110.98</v>
      </c>
      <c r="D13">
        <v>3.1</v>
      </c>
      <c r="E13" s="2">
        <f t="shared" si="0"/>
        <v>344.03800000000001</v>
      </c>
    </row>
    <row r="14" spans="1:5" ht="18" x14ac:dyDescent="0.25">
      <c r="A14" t="s">
        <v>13</v>
      </c>
      <c r="B14">
        <v>2</v>
      </c>
      <c r="C14">
        <v>246.48</v>
      </c>
      <c r="D14">
        <v>1</v>
      </c>
      <c r="E14" s="2">
        <f t="shared" si="0"/>
        <v>492.96</v>
      </c>
    </row>
    <row r="15" spans="1:5" x14ac:dyDescent="0.2">
      <c r="A15" t="s">
        <v>14</v>
      </c>
      <c r="B15">
        <v>1</v>
      </c>
      <c r="C15" t="s">
        <v>18</v>
      </c>
      <c r="D15">
        <v>1</v>
      </c>
      <c r="E15" s="2">
        <f t="shared" si="0"/>
        <v>0</v>
      </c>
    </row>
    <row r="16" spans="1:5" x14ac:dyDescent="0.2">
      <c r="A16" t="s">
        <v>15</v>
      </c>
      <c r="B16">
        <v>1</v>
      </c>
      <c r="C16" t="s">
        <v>18</v>
      </c>
      <c r="D16">
        <v>1</v>
      </c>
      <c r="E16" s="2">
        <f t="shared" si="0"/>
        <v>0</v>
      </c>
    </row>
    <row r="18" spans="1:5" x14ac:dyDescent="0.2">
      <c r="A18" s="1" t="s">
        <v>19</v>
      </c>
    </row>
    <row r="19" spans="1:5" x14ac:dyDescent="0.2">
      <c r="A19" t="s">
        <v>20</v>
      </c>
      <c r="B19" t="s">
        <v>2</v>
      </c>
      <c r="C19" t="s">
        <v>3</v>
      </c>
      <c r="D19" t="s">
        <v>4</v>
      </c>
      <c r="E19" t="s">
        <v>17</v>
      </c>
    </row>
    <row r="20" spans="1:5" ht="18" x14ac:dyDescent="0.25">
      <c r="A20" t="s">
        <v>21</v>
      </c>
      <c r="B20">
        <v>1</v>
      </c>
      <c r="C20">
        <v>14.006</v>
      </c>
      <c r="D20">
        <f>D3</f>
        <v>0</v>
      </c>
      <c r="E20" s="2">
        <f t="shared" ref="E20:E31" si="1">IFERROR((C20*1000)/(1000/(B20*D20)), 0)</f>
        <v>0</v>
      </c>
    </row>
    <row r="21" spans="1:5" ht="18" x14ac:dyDescent="0.25">
      <c r="A21" t="s">
        <v>22</v>
      </c>
      <c r="B21">
        <v>1</v>
      </c>
      <c r="C21">
        <v>30.973700000000001</v>
      </c>
      <c r="D21">
        <f>D3</f>
        <v>0</v>
      </c>
      <c r="E21" s="2">
        <f t="shared" si="1"/>
        <v>0</v>
      </c>
    </row>
    <row r="22" spans="1:5" ht="18" x14ac:dyDescent="0.25">
      <c r="A22" t="s">
        <v>23</v>
      </c>
      <c r="B22">
        <v>2</v>
      </c>
      <c r="C22">
        <v>39.094299999999997</v>
      </c>
      <c r="D22">
        <f>D4</f>
        <v>0.6</v>
      </c>
      <c r="E22" s="2">
        <f t="shared" si="1"/>
        <v>46.913159999999991</v>
      </c>
    </row>
    <row r="23" spans="1:5" ht="18" x14ac:dyDescent="0.25">
      <c r="A23" t="s">
        <v>24</v>
      </c>
      <c r="B23">
        <v>2</v>
      </c>
      <c r="C23">
        <v>14.006</v>
      </c>
      <c r="D23">
        <f>D4</f>
        <v>0.6</v>
      </c>
      <c r="E23" s="2">
        <f t="shared" si="1"/>
        <v>16.807199999999998</v>
      </c>
    </row>
    <row r="24" spans="1:5" ht="18" x14ac:dyDescent="0.25">
      <c r="A24" t="s">
        <v>25</v>
      </c>
      <c r="B24">
        <v>2</v>
      </c>
      <c r="C24">
        <v>40.078000000000003</v>
      </c>
      <c r="D24">
        <f>D5</f>
        <v>0.45</v>
      </c>
      <c r="E24" s="2">
        <f t="shared" si="1"/>
        <v>36.0702</v>
      </c>
    </row>
    <row r="25" spans="1:5" ht="18" x14ac:dyDescent="0.25">
      <c r="A25" t="s">
        <v>26</v>
      </c>
      <c r="B25">
        <v>2</v>
      </c>
      <c r="C25">
        <v>28.012</v>
      </c>
      <c r="D25">
        <f>D5</f>
        <v>0.45</v>
      </c>
      <c r="E25" s="2">
        <f t="shared" si="1"/>
        <v>25.210799999999999</v>
      </c>
    </row>
    <row r="26" spans="1:5" ht="18" x14ac:dyDescent="0.25">
      <c r="A26" t="s">
        <v>27</v>
      </c>
      <c r="B26">
        <v>1</v>
      </c>
      <c r="C26">
        <v>28.012</v>
      </c>
      <c r="D26">
        <f>D6</f>
        <v>1</v>
      </c>
      <c r="E26" s="2">
        <f t="shared" si="1"/>
        <v>28.012</v>
      </c>
    </row>
    <row r="27" spans="1:5" ht="18" x14ac:dyDescent="0.25">
      <c r="A27" t="s">
        <v>28</v>
      </c>
      <c r="B27">
        <v>1</v>
      </c>
      <c r="C27">
        <v>39.094299999999997</v>
      </c>
      <c r="D27">
        <f>D10</f>
        <v>0.25</v>
      </c>
      <c r="E27" s="2">
        <f t="shared" si="1"/>
        <v>9.7735749999999992</v>
      </c>
    </row>
    <row r="28" spans="1:5" ht="18" x14ac:dyDescent="0.25">
      <c r="A28" t="s">
        <v>29</v>
      </c>
      <c r="B28">
        <v>1</v>
      </c>
      <c r="C28">
        <v>30.973700000000001</v>
      </c>
      <c r="D28">
        <f>D10</f>
        <v>0.25</v>
      </c>
      <c r="E28" s="2">
        <f t="shared" si="1"/>
        <v>7.7434250000000002</v>
      </c>
    </row>
    <row r="29" spans="1:5" x14ac:dyDescent="0.2">
      <c r="A29" t="s">
        <v>30</v>
      </c>
      <c r="B29">
        <v>1</v>
      </c>
      <c r="C29">
        <v>39.094299999999997</v>
      </c>
      <c r="D29">
        <f>D11</f>
        <v>2.5499999999999998</v>
      </c>
      <c r="E29" s="2">
        <f t="shared" si="1"/>
        <v>99.690464999999975</v>
      </c>
    </row>
    <row r="30" spans="1:5" x14ac:dyDescent="0.2">
      <c r="A30" t="s">
        <v>31</v>
      </c>
      <c r="B30">
        <v>1</v>
      </c>
      <c r="C30">
        <v>35.453000000000003</v>
      </c>
      <c r="D30">
        <f>D11</f>
        <v>2.5499999999999998</v>
      </c>
      <c r="E30" s="2">
        <f t="shared" si="1"/>
        <v>90.405149999999992</v>
      </c>
    </row>
    <row r="31" spans="1:5" ht="18" x14ac:dyDescent="0.25">
      <c r="A31" t="s">
        <v>32</v>
      </c>
      <c r="B31">
        <v>1</v>
      </c>
      <c r="C31">
        <v>40.078000000000003</v>
      </c>
      <c r="D31">
        <f>D12</f>
        <v>0</v>
      </c>
      <c r="E31" s="2">
        <f t="shared" si="1"/>
        <v>0</v>
      </c>
    </row>
    <row r="32" spans="1:5" x14ac:dyDescent="0.2">
      <c r="A32" t="s">
        <v>43</v>
      </c>
      <c r="B32">
        <v>1</v>
      </c>
      <c r="C32">
        <v>40.078000000000003</v>
      </c>
      <c r="D32">
        <f>D13</f>
        <v>3.1</v>
      </c>
      <c r="E32" s="2">
        <f t="shared" ref="E32:E34" si="2">IFERROR((C32*1000)/(1000/(B32*D32)), 0)</f>
        <v>124.24180000000001</v>
      </c>
    </row>
    <row r="33" spans="1:5" x14ac:dyDescent="0.2">
      <c r="A33" t="s">
        <v>44</v>
      </c>
      <c r="B33">
        <v>1</v>
      </c>
      <c r="C33">
        <f>C30*2</f>
        <v>70.906000000000006</v>
      </c>
      <c r="D33">
        <f>D13</f>
        <v>3.1</v>
      </c>
      <c r="E33" s="2">
        <f t="shared" si="2"/>
        <v>219.80860000000001</v>
      </c>
    </row>
    <row r="34" spans="1:5" ht="18" x14ac:dyDescent="0.25">
      <c r="A34" t="s">
        <v>33</v>
      </c>
      <c r="B34">
        <v>2</v>
      </c>
      <c r="C34">
        <v>24.305</v>
      </c>
      <c r="D34">
        <f>D14</f>
        <v>1</v>
      </c>
      <c r="E34" s="2">
        <f t="shared" si="2"/>
        <v>48.61</v>
      </c>
    </row>
    <row r="35" spans="1:5" ht="18" x14ac:dyDescent="0.25">
      <c r="A35" t="s">
        <v>40</v>
      </c>
      <c r="B35">
        <v>2</v>
      </c>
      <c r="C35">
        <v>32.064999999999998</v>
      </c>
      <c r="D35">
        <f>D14</f>
        <v>1</v>
      </c>
      <c r="E35" s="2">
        <f>IFERROR((C35*1000)/(1000/(B35*D35)), 0)</f>
        <v>64.13</v>
      </c>
    </row>
    <row r="37" spans="1:5" x14ac:dyDescent="0.2">
      <c r="A37" s="1" t="s">
        <v>42</v>
      </c>
    </row>
    <row r="38" spans="1:5" x14ac:dyDescent="0.2">
      <c r="A38" t="s">
        <v>41</v>
      </c>
      <c r="B38" t="s">
        <v>17</v>
      </c>
      <c r="C38" t="s">
        <v>58</v>
      </c>
      <c r="D38" t="s">
        <v>46</v>
      </c>
    </row>
    <row r="39" spans="1:5" x14ac:dyDescent="0.2">
      <c r="A39" t="s">
        <v>34</v>
      </c>
      <c r="B39" s="2">
        <f>SUM(E20,E23,E25,E26)</f>
        <v>70.03</v>
      </c>
      <c r="C39" s="2">
        <v>70</v>
      </c>
      <c r="D39" s="2">
        <f t="shared" ref="D39:D44" si="3">C39-B39</f>
        <v>-3.0000000000001137E-2</v>
      </c>
    </row>
    <row r="40" spans="1:5" x14ac:dyDescent="0.2">
      <c r="A40" t="s">
        <v>35</v>
      </c>
      <c r="B40" s="8">
        <f>SUM(E21,E28)</f>
        <v>7.7434250000000002</v>
      </c>
      <c r="C40">
        <v>7.75</v>
      </c>
      <c r="D40" s="2">
        <f t="shared" si="3"/>
        <v>6.5749999999997755E-3</v>
      </c>
    </row>
    <row r="41" spans="1:5" x14ac:dyDescent="0.2">
      <c r="A41" t="s">
        <v>36</v>
      </c>
      <c r="B41" s="2">
        <f>SUM(E22,E27,E29)</f>
        <v>156.37719999999996</v>
      </c>
      <c r="C41">
        <v>156.4</v>
      </c>
      <c r="D41" s="2">
        <f t="shared" si="3"/>
        <v>2.2800000000046339E-2</v>
      </c>
    </row>
    <row r="42" spans="1:5" x14ac:dyDescent="0.2">
      <c r="A42" t="s">
        <v>37</v>
      </c>
      <c r="B42" s="2">
        <f>E31+E24+E32</f>
        <v>160.31200000000001</v>
      </c>
      <c r="C42">
        <v>160.30000000000001</v>
      </c>
      <c r="D42" s="2">
        <f t="shared" si="3"/>
        <v>-1.2000000000000455E-2</v>
      </c>
    </row>
    <row r="43" spans="1:5" x14ac:dyDescent="0.2">
      <c r="A43" t="s">
        <v>38</v>
      </c>
      <c r="B43" s="2">
        <f>E34</f>
        <v>48.61</v>
      </c>
      <c r="C43">
        <v>48.6</v>
      </c>
      <c r="D43" s="2">
        <f t="shared" si="3"/>
        <v>-9.9999999999980105E-3</v>
      </c>
    </row>
    <row r="44" spans="1:5" x14ac:dyDescent="0.2">
      <c r="A44" t="s">
        <v>39</v>
      </c>
      <c r="B44" s="2">
        <f>E35</f>
        <v>64.13</v>
      </c>
      <c r="C44">
        <v>64.099999999999994</v>
      </c>
      <c r="D44" s="2">
        <f t="shared" si="3"/>
        <v>-3.0000000000001137E-2</v>
      </c>
    </row>
    <row r="46" spans="1:5" x14ac:dyDescent="0.2">
      <c r="A46" s="3" t="s">
        <v>48</v>
      </c>
      <c r="B46" s="3">
        <v>6.1</v>
      </c>
    </row>
    <row r="48" spans="1:5" x14ac:dyDescent="0.2">
      <c r="A48" s="5" t="s">
        <v>49</v>
      </c>
    </row>
    <row r="49" spans="1:4" x14ac:dyDescent="0.2">
      <c r="A49" t="s">
        <v>20</v>
      </c>
      <c r="B49" t="s">
        <v>2</v>
      </c>
      <c r="C49" t="s">
        <v>50</v>
      </c>
      <c r="D49" t="s">
        <v>51</v>
      </c>
    </row>
    <row r="50" spans="1:4" x14ac:dyDescent="0.2">
      <c r="A50" t="s">
        <v>52</v>
      </c>
      <c r="B50">
        <v>1</v>
      </c>
      <c r="C50">
        <f>D3</f>
        <v>0</v>
      </c>
      <c r="D50">
        <f>B50*C50</f>
        <v>0</v>
      </c>
    </row>
    <row r="51" spans="1:4" x14ac:dyDescent="0.2">
      <c r="A51" t="s">
        <v>53</v>
      </c>
      <c r="B51">
        <v>2</v>
      </c>
      <c r="C51">
        <f>D4</f>
        <v>0.6</v>
      </c>
      <c r="D51">
        <f t="shared" ref="D51:D54" si="4">B51*C51</f>
        <v>1.2</v>
      </c>
    </row>
    <row r="52" spans="1:4" x14ac:dyDescent="0.2">
      <c r="A52" t="s">
        <v>54</v>
      </c>
      <c r="B52">
        <v>2</v>
      </c>
      <c r="C52">
        <f>D5</f>
        <v>0.45</v>
      </c>
      <c r="D52">
        <f>B52*C52*2</f>
        <v>1.8</v>
      </c>
    </row>
    <row r="53" spans="1:4" x14ac:dyDescent="0.2">
      <c r="A53" t="s">
        <v>55</v>
      </c>
      <c r="B53">
        <v>1</v>
      </c>
      <c r="C53">
        <f>D6</f>
        <v>1</v>
      </c>
      <c r="D53">
        <f t="shared" si="4"/>
        <v>1</v>
      </c>
    </row>
    <row r="54" spans="1:4" x14ac:dyDescent="0.2">
      <c r="A54" t="s">
        <v>56</v>
      </c>
      <c r="B54">
        <v>1</v>
      </c>
      <c r="C54">
        <f>D6</f>
        <v>1</v>
      </c>
      <c r="D54">
        <f t="shared" si="4"/>
        <v>1</v>
      </c>
    </row>
    <row r="56" spans="1:4" x14ac:dyDescent="0.2">
      <c r="A56" t="s">
        <v>57</v>
      </c>
      <c r="B56" s="7">
        <f>IFERROR((D50+D53)/(D51+D52+D54), 0)</f>
        <v>0.25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B501D-9163-9545-8859-8445093C95AF}">
  <dimension ref="A1:E56"/>
  <sheetViews>
    <sheetView topLeftCell="A16" zoomScale="208" workbookViewId="0">
      <selection activeCell="B41" sqref="B41"/>
    </sheetView>
  </sheetViews>
  <sheetFormatPr baseColWidth="10" defaultRowHeight="16" x14ac:dyDescent="0.2"/>
  <cols>
    <col min="1" max="1" width="27.33203125" bestFit="1" customWidth="1"/>
  </cols>
  <sheetData>
    <row r="1" spans="1:5" x14ac:dyDescent="0.2">
      <c r="A1" s="1" t="s">
        <v>0</v>
      </c>
      <c r="B1" s="1"/>
    </row>
    <row r="2" spans="1:5" x14ac:dyDescent="0.2">
      <c r="A2" t="s">
        <v>1</v>
      </c>
      <c r="B2" t="s">
        <v>2</v>
      </c>
      <c r="C2" t="s">
        <v>3</v>
      </c>
      <c r="D2" t="s">
        <v>4</v>
      </c>
      <c r="E2" t="s">
        <v>17</v>
      </c>
    </row>
    <row r="3" spans="1:5" ht="18" x14ac:dyDescent="0.25">
      <c r="A3" t="s">
        <v>5</v>
      </c>
      <c r="B3">
        <v>1</v>
      </c>
      <c r="C3">
        <v>115.3</v>
      </c>
      <c r="D3">
        <v>0</v>
      </c>
      <c r="E3" s="2">
        <f>IFERROR((C3*1000)/(1000/(B3*D3)), 0)</f>
        <v>0</v>
      </c>
    </row>
    <row r="4" spans="1:5" ht="18" x14ac:dyDescent="0.25">
      <c r="A4" t="s">
        <v>6</v>
      </c>
      <c r="B4">
        <v>2</v>
      </c>
      <c r="C4">
        <v>101.1</v>
      </c>
      <c r="D4">
        <v>0.6</v>
      </c>
      <c r="E4" s="2">
        <f t="shared" ref="E4:E16" si="0">IFERROR((C4*1000)/(1000/(B4*D4)), 0)</f>
        <v>121.32</v>
      </c>
    </row>
    <row r="5" spans="1:5" ht="18" x14ac:dyDescent="0.25">
      <c r="A5" t="s">
        <v>7</v>
      </c>
      <c r="B5">
        <v>2</v>
      </c>
      <c r="C5">
        <v>164.08799999999999</v>
      </c>
      <c r="D5">
        <v>0.45</v>
      </c>
      <c r="E5" s="2">
        <f>IFERROR((C5*1000)/(1000/(B5*D5)), 0)</f>
        <v>147.67920000000001</v>
      </c>
    </row>
    <row r="6" spans="1:5" ht="18" x14ac:dyDescent="0.25">
      <c r="A6" t="s">
        <v>8</v>
      </c>
      <c r="B6">
        <v>1</v>
      </c>
      <c r="C6">
        <v>80.043000000000006</v>
      </c>
      <c r="D6">
        <v>1</v>
      </c>
      <c r="E6" s="2">
        <f t="shared" si="0"/>
        <v>80.043000000000006</v>
      </c>
    </row>
    <row r="7" spans="1:5" x14ac:dyDescent="0.2">
      <c r="E7" s="2"/>
    </row>
    <row r="8" spans="1:5" x14ac:dyDescent="0.2">
      <c r="A8" s="1" t="s">
        <v>9</v>
      </c>
      <c r="E8" s="2"/>
    </row>
    <row r="9" spans="1:5" x14ac:dyDescent="0.2">
      <c r="A9" t="s">
        <v>1</v>
      </c>
      <c r="B9" t="s">
        <v>2</v>
      </c>
      <c r="C9" t="s">
        <v>3</v>
      </c>
      <c r="D9" t="s">
        <v>4</v>
      </c>
      <c r="E9" s="2" t="s">
        <v>17</v>
      </c>
    </row>
    <row r="10" spans="1:5" ht="18" x14ac:dyDescent="0.25">
      <c r="A10" t="s">
        <v>10</v>
      </c>
      <c r="B10">
        <v>1</v>
      </c>
      <c r="C10">
        <v>136.08600000000001</v>
      </c>
      <c r="D10">
        <v>0.5</v>
      </c>
      <c r="E10" s="2">
        <f t="shared" si="0"/>
        <v>68.043000000000006</v>
      </c>
    </row>
    <row r="11" spans="1:5" x14ac:dyDescent="0.2">
      <c r="A11" t="s">
        <v>11</v>
      </c>
      <c r="B11">
        <v>1</v>
      </c>
      <c r="C11">
        <v>74.555000000000007</v>
      </c>
      <c r="D11">
        <v>2.2999999999999998</v>
      </c>
      <c r="E11" s="2">
        <f t="shared" si="0"/>
        <v>171.47649999999999</v>
      </c>
    </row>
    <row r="12" spans="1:5" ht="18" x14ac:dyDescent="0.25">
      <c r="A12" t="s">
        <v>12</v>
      </c>
      <c r="B12">
        <v>1</v>
      </c>
      <c r="C12">
        <v>100.087</v>
      </c>
      <c r="D12">
        <v>0.1</v>
      </c>
      <c r="E12" s="2">
        <f t="shared" si="0"/>
        <v>10.008699999999999</v>
      </c>
    </row>
    <row r="13" spans="1:5" ht="18" x14ac:dyDescent="0.25">
      <c r="A13" t="s">
        <v>16</v>
      </c>
      <c r="B13">
        <v>1</v>
      </c>
      <c r="C13">
        <v>110.98</v>
      </c>
      <c r="D13">
        <v>3</v>
      </c>
      <c r="E13" s="2">
        <f t="shared" si="0"/>
        <v>332.94</v>
      </c>
    </row>
    <row r="14" spans="1:5" ht="18" x14ac:dyDescent="0.25">
      <c r="A14" t="s">
        <v>13</v>
      </c>
      <c r="B14">
        <v>2</v>
      </c>
      <c r="C14">
        <v>246.48</v>
      </c>
      <c r="D14">
        <v>1</v>
      </c>
      <c r="E14" s="2">
        <f t="shared" si="0"/>
        <v>492.96</v>
      </c>
    </row>
    <row r="15" spans="1:5" x14ac:dyDescent="0.2">
      <c r="A15" t="s">
        <v>14</v>
      </c>
      <c r="B15">
        <v>1</v>
      </c>
      <c r="C15" t="s">
        <v>18</v>
      </c>
      <c r="D15">
        <v>1</v>
      </c>
      <c r="E15" s="2">
        <f t="shared" si="0"/>
        <v>0</v>
      </c>
    </row>
    <row r="16" spans="1:5" x14ac:dyDescent="0.2">
      <c r="A16" t="s">
        <v>15</v>
      </c>
      <c r="B16">
        <v>1</v>
      </c>
      <c r="C16" t="s">
        <v>18</v>
      </c>
      <c r="D16">
        <v>1</v>
      </c>
      <c r="E16" s="2">
        <f t="shared" si="0"/>
        <v>0</v>
      </c>
    </row>
    <row r="18" spans="1:5" x14ac:dyDescent="0.2">
      <c r="A18" s="1" t="s">
        <v>19</v>
      </c>
    </row>
    <row r="19" spans="1:5" x14ac:dyDescent="0.2">
      <c r="A19" t="s">
        <v>20</v>
      </c>
      <c r="B19" t="s">
        <v>2</v>
      </c>
      <c r="C19" t="s">
        <v>3</v>
      </c>
      <c r="D19" t="s">
        <v>4</v>
      </c>
      <c r="E19" t="s">
        <v>17</v>
      </c>
    </row>
    <row r="20" spans="1:5" ht="18" x14ac:dyDescent="0.25">
      <c r="A20" t="s">
        <v>21</v>
      </c>
      <c r="B20">
        <v>1</v>
      </c>
      <c r="C20">
        <v>14.006</v>
      </c>
      <c r="D20">
        <f>D3</f>
        <v>0</v>
      </c>
      <c r="E20" s="2">
        <f t="shared" ref="E20:E31" si="1">IFERROR((C20*1000)/(1000/(B20*D20)), 0)</f>
        <v>0</v>
      </c>
    </row>
    <row r="21" spans="1:5" ht="18" x14ac:dyDescent="0.25">
      <c r="A21" t="s">
        <v>22</v>
      </c>
      <c r="B21">
        <v>1</v>
      </c>
      <c r="C21">
        <v>30.973700000000001</v>
      </c>
      <c r="D21">
        <f>D3</f>
        <v>0</v>
      </c>
      <c r="E21" s="2">
        <f t="shared" si="1"/>
        <v>0</v>
      </c>
    </row>
    <row r="22" spans="1:5" ht="18" x14ac:dyDescent="0.25">
      <c r="A22" t="s">
        <v>23</v>
      </c>
      <c r="B22">
        <v>2</v>
      </c>
      <c r="C22">
        <v>39.094299999999997</v>
      </c>
      <c r="D22">
        <f>D4</f>
        <v>0.6</v>
      </c>
      <c r="E22" s="2">
        <f t="shared" si="1"/>
        <v>46.913159999999991</v>
      </c>
    </row>
    <row r="23" spans="1:5" ht="18" x14ac:dyDescent="0.25">
      <c r="A23" t="s">
        <v>24</v>
      </c>
      <c r="B23">
        <v>2</v>
      </c>
      <c r="C23">
        <v>14.006</v>
      </c>
      <c r="D23">
        <f>D4</f>
        <v>0.6</v>
      </c>
      <c r="E23" s="2">
        <f t="shared" si="1"/>
        <v>16.807199999999998</v>
      </c>
    </row>
    <row r="24" spans="1:5" ht="18" x14ac:dyDescent="0.25">
      <c r="A24" t="s">
        <v>25</v>
      </c>
      <c r="B24">
        <v>2</v>
      </c>
      <c r="C24">
        <v>40.078000000000003</v>
      </c>
      <c r="D24">
        <f>D5</f>
        <v>0.45</v>
      </c>
      <c r="E24" s="2">
        <f t="shared" si="1"/>
        <v>36.0702</v>
      </c>
    </row>
    <row r="25" spans="1:5" ht="18" x14ac:dyDescent="0.25">
      <c r="A25" t="s">
        <v>26</v>
      </c>
      <c r="B25">
        <v>2</v>
      </c>
      <c r="C25">
        <v>28.012</v>
      </c>
      <c r="D25">
        <f>D5</f>
        <v>0.45</v>
      </c>
      <c r="E25" s="2">
        <f t="shared" si="1"/>
        <v>25.210799999999999</v>
      </c>
    </row>
    <row r="26" spans="1:5" ht="18" x14ac:dyDescent="0.25">
      <c r="A26" t="s">
        <v>27</v>
      </c>
      <c r="B26">
        <v>1</v>
      </c>
      <c r="C26">
        <v>28.012</v>
      </c>
      <c r="D26">
        <f>D6</f>
        <v>1</v>
      </c>
      <c r="E26" s="2">
        <f t="shared" si="1"/>
        <v>28.012</v>
      </c>
    </row>
    <row r="27" spans="1:5" ht="18" x14ac:dyDescent="0.25">
      <c r="A27" t="s">
        <v>28</v>
      </c>
      <c r="B27">
        <v>1</v>
      </c>
      <c r="C27">
        <v>39.094299999999997</v>
      </c>
      <c r="D27">
        <f>D10</f>
        <v>0.5</v>
      </c>
      <c r="E27" s="2">
        <f t="shared" si="1"/>
        <v>19.547149999999998</v>
      </c>
    </row>
    <row r="28" spans="1:5" ht="18" x14ac:dyDescent="0.25">
      <c r="A28" t="s">
        <v>29</v>
      </c>
      <c r="B28">
        <v>1</v>
      </c>
      <c r="C28">
        <v>30.973700000000001</v>
      </c>
      <c r="D28">
        <f>D10</f>
        <v>0.5</v>
      </c>
      <c r="E28" s="2">
        <f t="shared" si="1"/>
        <v>15.48685</v>
      </c>
    </row>
    <row r="29" spans="1:5" x14ac:dyDescent="0.2">
      <c r="A29" t="s">
        <v>30</v>
      </c>
      <c r="B29">
        <v>1</v>
      </c>
      <c r="C29">
        <v>39.094299999999997</v>
      </c>
      <c r="D29">
        <f>D11</f>
        <v>2.2999999999999998</v>
      </c>
      <c r="E29" s="2">
        <f t="shared" si="1"/>
        <v>89.916889999999981</v>
      </c>
    </row>
    <row r="30" spans="1:5" x14ac:dyDescent="0.2">
      <c r="A30" t="s">
        <v>31</v>
      </c>
      <c r="B30">
        <v>1</v>
      </c>
      <c r="C30">
        <v>35.453000000000003</v>
      </c>
      <c r="D30">
        <f>D11</f>
        <v>2.2999999999999998</v>
      </c>
      <c r="E30" s="2">
        <f t="shared" si="1"/>
        <v>81.541899999999998</v>
      </c>
    </row>
    <row r="31" spans="1:5" ht="18" x14ac:dyDescent="0.25">
      <c r="A31" t="s">
        <v>32</v>
      </c>
      <c r="B31">
        <v>1</v>
      </c>
      <c r="C31">
        <v>40.078000000000003</v>
      </c>
      <c r="D31">
        <f>D12</f>
        <v>0.1</v>
      </c>
      <c r="E31" s="2">
        <f t="shared" si="1"/>
        <v>4.0077999999999996</v>
      </c>
    </row>
    <row r="32" spans="1:5" x14ac:dyDescent="0.2">
      <c r="A32" t="s">
        <v>43</v>
      </c>
      <c r="B32">
        <v>1</v>
      </c>
      <c r="C32">
        <v>40.078000000000003</v>
      </c>
      <c r="D32">
        <f>D13</f>
        <v>3</v>
      </c>
      <c r="E32" s="2">
        <f t="shared" ref="E32:E34" si="2">IFERROR((C32*1000)/(1000/(B32*D32)), 0)</f>
        <v>120.23400000000001</v>
      </c>
    </row>
    <row r="33" spans="1:5" x14ac:dyDescent="0.2">
      <c r="A33" t="s">
        <v>44</v>
      </c>
      <c r="B33">
        <v>1</v>
      </c>
      <c r="C33">
        <f>C30*2</f>
        <v>70.906000000000006</v>
      </c>
      <c r="D33">
        <f>D13</f>
        <v>3</v>
      </c>
      <c r="E33" s="2">
        <f t="shared" si="2"/>
        <v>212.71800000000002</v>
      </c>
    </row>
    <row r="34" spans="1:5" ht="18" x14ac:dyDescent="0.25">
      <c r="A34" t="s">
        <v>33</v>
      </c>
      <c r="B34">
        <v>2</v>
      </c>
      <c r="C34">
        <v>24.305</v>
      </c>
      <c r="D34">
        <f>D14</f>
        <v>1</v>
      </c>
      <c r="E34" s="2">
        <f t="shared" si="2"/>
        <v>48.61</v>
      </c>
    </row>
    <row r="35" spans="1:5" ht="18" x14ac:dyDescent="0.25">
      <c r="A35" t="s">
        <v>40</v>
      </c>
      <c r="B35">
        <v>2</v>
      </c>
      <c r="C35">
        <v>32.064999999999998</v>
      </c>
      <c r="D35">
        <f>D14</f>
        <v>1</v>
      </c>
      <c r="E35" s="2">
        <f>IFERROR((C35*1000)/(1000/(B35*D35)), 0)</f>
        <v>64.13</v>
      </c>
    </row>
    <row r="37" spans="1:5" x14ac:dyDescent="0.2">
      <c r="A37" s="1" t="s">
        <v>42</v>
      </c>
    </row>
    <row r="38" spans="1:5" x14ac:dyDescent="0.2">
      <c r="A38" t="s">
        <v>41</v>
      </c>
      <c r="B38" t="s">
        <v>17</v>
      </c>
      <c r="C38" t="s">
        <v>45</v>
      </c>
      <c r="D38" t="s">
        <v>46</v>
      </c>
    </row>
    <row r="39" spans="1:5" x14ac:dyDescent="0.2">
      <c r="A39" t="s">
        <v>34</v>
      </c>
      <c r="B39" s="2">
        <f>SUM(E20,E23,E25,E26)</f>
        <v>70.03</v>
      </c>
      <c r="C39" s="2">
        <v>70</v>
      </c>
      <c r="D39" s="2">
        <f t="shared" ref="D39:D44" si="3">C39-B39</f>
        <v>-3.0000000000001137E-2</v>
      </c>
    </row>
    <row r="40" spans="1:5" x14ac:dyDescent="0.2">
      <c r="A40" t="s">
        <v>35</v>
      </c>
      <c r="B40" s="2">
        <f>SUM(E21,E28)</f>
        <v>15.48685</v>
      </c>
      <c r="C40" s="2">
        <v>15.5</v>
      </c>
      <c r="D40" s="2">
        <f t="shared" si="3"/>
        <v>1.3149999999999551E-2</v>
      </c>
    </row>
    <row r="41" spans="1:5" x14ac:dyDescent="0.2">
      <c r="A41" t="s">
        <v>36</v>
      </c>
      <c r="B41" s="2">
        <f>SUM(E22,E27,E29)</f>
        <v>156.37719999999996</v>
      </c>
      <c r="C41">
        <v>156.4</v>
      </c>
      <c r="D41" s="2">
        <f t="shared" si="3"/>
        <v>2.2800000000046339E-2</v>
      </c>
    </row>
    <row r="42" spans="1:5" x14ac:dyDescent="0.2">
      <c r="A42" t="s">
        <v>37</v>
      </c>
      <c r="B42" s="2">
        <f>E31+E24+E32</f>
        <v>160.31200000000001</v>
      </c>
      <c r="C42">
        <v>160.30000000000001</v>
      </c>
      <c r="D42" s="2">
        <f t="shared" si="3"/>
        <v>-1.2000000000000455E-2</v>
      </c>
    </row>
    <row r="43" spans="1:5" x14ac:dyDescent="0.2">
      <c r="A43" t="s">
        <v>38</v>
      </c>
      <c r="B43" s="2">
        <f>E34</f>
        <v>48.61</v>
      </c>
      <c r="C43">
        <v>48.6</v>
      </c>
      <c r="D43" s="2">
        <f t="shared" si="3"/>
        <v>-9.9999999999980105E-3</v>
      </c>
    </row>
    <row r="44" spans="1:5" x14ac:dyDescent="0.2">
      <c r="A44" t="s">
        <v>39</v>
      </c>
      <c r="B44" s="2">
        <f>E35</f>
        <v>64.13</v>
      </c>
      <c r="C44">
        <v>64.099999999999994</v>
      </c>
      <c r="D44" s="2">
        <f t="shared" si="3"/>
        <v>-3.0000000000001137E-2</v>
      </c>
    </row>
    <row r="46" spans="1:5" x14ac:dyDescent="0.2">
      <c r="A46" s="3" t="s">
        <v>48</v>
      </c>
      <c r="B46" s="4">
        <v>6.1</v>
      </c>
    </row>
    <row r="48" spans="1:5" x14ac:dyDescent="0.2">
      <c r="A48" s="5" t="s">
        <v>49</v>
      </c>
    </row>
    <row r="49" spans="1:4" x14ac:dyDescent="0.2">
      <c r="A49" t="s">
        <v>20</v>
      </c>
      <c r="B49" t="s">
        <v>2</v>
      </c>
      <c r="C49" t="s">
        <v>50</v>
      </c>
      <c r="D49" t="s">
        <v>51</v>
      </c>
    </row>
    <row r="50" spans="1:4" x14ac:dyDescent="0.2">
      <c r="A50" t="s">
        <v>52</v>
      </c>
      <c r="B50">
        <v>1</v>
      </c>
      <c r="C50">
        <f>D3</f>
        <v>0</v>
      </c>
      <c r="D50">
        <f>B50*C50</f>
        <v>0</v>
      </c>
    </row>
    <row r="51" spans="1:4" x14ac:dyDescent="0.2">
      <c r="A51" t="s">
        <v>53</v>
      </c>
      <c r="B51">
        <v>2</v>
      </c>
      <c r="C51">
        <f>D4</f>
        <v>0.6</v>
      </c>
      <c r="D51">
        <f t="shared" ref="D51:D54" si="4">B51*C51</f>
        <v>1.2</v>
      </c>
    </row>
    <row r="52" spans="1:4" x14ac:dyDescent="0.2">
      <c r="A52" t="s">
        <v>54</v>
      </c>
      <c r="B52">
        <v>2</v>
      </c>
      <c r="C52">
        <f>D5</f>
        <v>0.45</v>
      </c>
      <c r="D52">
        <f>B52*C52*2</f>
        <v>1.8</v>
      </c>
    </row>
    <row r="53" spans="1:4" x14ac:dyDescent="0.2">
      <c r="A53" t="s">
        <v>55</v>
      </c>
      <c r="B53">
        <v>1</v>
      </c>
      <c r="C53">
        <f>D6</f>
        <v>1</v>
      </c>
      <c r="D53">
        <f t="shared" si="4"/>
        <v>1</v>
      </c>
    </row>
    <row r="54" spans="1:4" x14ac:dyDescent="0.2">
      <c r="A54" t="s">
        <v>56</v>
      </c>
      <c r="B54">
        <v>1</v>
      </c>
      <c r="C54">
        <f>D6</f>
        <v>1</v>
      </c>
      <c r="D54">
        <f t="shared" si="4"/>
        <v>1</v>
      </c>
    </row>
    <row r="56" spans="1:4" x14ac:dyDescent="0.2">
      <c r="A56" t="s">
        <v>57</v>
      </c>
      <c r="B56" s="7">
        <f>IFERROR((D50+D53)/(D51+D52+D54), 0)</f>
        <v>0.25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89A06-016E-834C-9EF8-D374308C42E0}">
  <dimension ref="A1:E56"/>
  <sheetViews>
    <sheetView zoomScale="242" workbookViewId="0">
      <selection activeCell="B46" sqref="B46"/>
    </sheetView>
  </sheetViews>
  <sheetFormatPr baseColWidth="10" defaultRowHeight="16" x14ac:dyDescent="0.2"/>
  <cols>
    <col min="1" max="1" width="27.33203125" bestFit="1" customWidth="1"/>
  </cols>
  <sheetData>
    <row r="1" spans="1:5" x14ac:dyDescent="0.2">
      <c r="A1" s="1" t="s">
        <v>0</v>
      </c>
      <c r="B1" s="1"/>
    </row>
    <row r="2" spans="1:5" x14ac:dyDescent="0.2">
      <c r="A2" t="s">
        <v>1</v>
      </c>
      <c r="B2" t="s">
        <v>2</v>
      </c>
      <c r="C2" t="s">
        <v>3</v>
      </c>
      <c r="D2" t="s">
        <v>4</v>
      </c>
      <c r="E2" t="s">
        <v>17</v>
      </c>
    </row>
    <row r="3" spans="1:5" ht="18" x14ac:dyDescent="0.25">
      <c r="A3" t="s">
        <v>5</v>
      </c>
      <c r="B3">
        <v>1</v>
      </c>
      <c r="C3">
        <v>115.3</v>
      </c>
      <c r="D3" s="6">
        <v>0.4</v>
      </c>
      <c r="E3" s="2">
        <f>IFERROR((C3*1000)/(1000/(B3*D3)), 0)</f>
        <v>46.12</v>
      </c>
    </row>
    <row r="4" spans="1:5" ht="18" x14ac:dyDescent="0.25">
      <c r="A4" t="s">
        <v>6</v>
      </c>
      <c r="B4">
        <v>2</v>
      </c>
      <c r="C4">
        <v>101.1</v>
      </c>
      <c r="D4" s="6">
        <v>0.6</v>
      </c>
      <c r="E4" s="2">
        <f t="shared" ref="E4:E16" si="0">IFERROR((C4*1000)/(1000/(B4*D4)), 0)</f>
        <v>121.32</v>
      </c>
    </row>
    <row r="5" spans="1:5" ht="18" x14ac:dyDescent="0.25">
      <c r="A5" t="s">
        <v>7</v>
      </c>
      <c r="B5">
        <v>2</v>
      </c>
      <c r="C5">
        <v>164.08799999999999</v>
      </c>
      <c r="D5" s="6">
        <v>0.55000000000000004</v>
      </c>
      <c r="E5" s="2">
        <f>IFERROR((C5*1000)/(1000/(B5*D5)), 0)</f>
        <v>180.49680000000001</v>
      </c>
    </row>
    <row r="6" spans="1:5" ht="18" x14ac:dyDescent="0.25">
      <c r="A6" t="s">
        <v>8</v>
      </c>
      <c r="B6">
        <v>1</v>
      </c>
      <c r="C6">
        <v>80.043000000000006</v>
      </c>
      <c r="D6" s="6">
        <v>0.6</v>
      </c>
      <c r="E6" s="2">
        <f t="shared" si="0"/>
        <v>48.025799999999997</v>
      </c>
    </row>
    <row r="7" spans="1:5" x14ac:dyDescent="0.2">
      <c r="E7" s="2"/>
    </row>
    <row r="8" spans="1:5" x14ac:dyDescent="0.2">
      <c r="A8" s="1" t="s">
        <v>9</v>
      </c>
      <c r="E8" s="2"/>
    </row>
    <row r="9" spans="1:5" x14ac:dyDescent="0.2">
      <c r="A9" t="s">
        <v>1</v>
      </c>
      <c r="B9" t="s">
        <v>2</v>
      </c>
      <c r="C9" t="s">
        <v>3</v>
      </c>
      <c r="D9" t="s">
        <v>4</v>
      </c>
      <c r="E9" s="2" t="s">
        <v>17</v>
      </c>
    </row>
    <row r="10" spans="1:5" ht="18" x14ac:dyDescent="0.25">
      <c r="A10" t="s">
        <v>10</v>
      </c>
      <c r="B10">
        <v>1</v>
      </c>
      <c r="C10">
        <v>136.08600000000001</v>
      </c>
      <c r="D10">
        <v>0.6</v>
      </c>
      <c r="E10" s="2">
        <f t="shared" si="0"/>
        <v>81.651600000000002</v>
      </c>
    </row>
    <row r="11" spans="1:5" x14ac:dyDescent="0.2">
      <c r="A11" t="s">
        <v>11</v>
      </c>
      <c r="B11">
        <v>1</v>
      </c>
      <c r="C11">
        <v>74.555000000000007</v>
      </c>
      <c r="D11">
        <v>2.2000000000000002</v>
      </c>
      <c r="E11" s="2">
        <f t="shared" si="0"/>
        <v>164.02100000000002</v>
      </c>
    </row>
    <row r="12" spans="1:5" ht="18" x14ac:dyDescent="0.25">
      <c r="A12" t="s">
        <v>12</v>
      </c>
      <c r="B12">
        <v>1</v>
      </c>
      <c r="C12">
        <v>100.087</v>
      </c>
      <c r="D12">
        <v>0.2</v>
      </c>
      <c r="E12" s="2">
        <f t="shared" si="0"/>
        <v>20.017399999999999</v>
      </c>
    </row>
    <row r="13" spans="1:5" ht="18" x14ac:dyDescent="0.25">
      <c r="A13" t="s">
        <v>16</v>
      </c>
      <c r="B13">
        <v>1</v>
      </c>
      <c r="C13">
        <v>110.98</v>
      </c>
      <c r="D13">
        <v>2.7</v>
      </c>
      <c r="E13" s="2">
        <f t="shared" si="0"/>
        <v>299.64600000000002</v>
      </c>
    </row>
    <row r="14" spans="1:5" ht="18" x14ac:dyDescent="0.25">
      <c r="A14" t="s">
        <v>13</v>
      </c>
      <c r="B14">
        <v>2</v>
      </c>
      <c r="C14">
        <v>246.48</v>
      </c>
      <c r="D14">
        <v>1</v>
      </c>
      <c r="E14" s="2">
        <f t="shared" si="0"/>
        <v>492.96</v>
      </c>
    </row>
    <row r="15" spans="1:5" x14ac:dyDescent="0.2">
      <c r="A15" t="s">
        <v>14</v>
      </c>
      <c r="B15">
        <v>1</v>
      </c>
      <c r="C15" t="s">
        <v>18</v>
      </c>
      <c r="D15">
        <v>1</v>
      </c>
      <c r="E15" s="2">
        <f t="shared" si="0"/>
        <v>0</v>
      </c>
    </row>
    <row r="16" spans="1:5" x14ac:dyDescent="0.2">
      <c r="A16" t="s">
        <v>15</v>
      </c>
      <c r="B16">
        <v>1</v>
      </c>
      <c r="C16" t="s">
        <v>18</v>
      </c>
      <c r="D16">
        <v>1</v>
      </c>
      <c r="E16" s="2">
        <f t="shared" si="0"/>
        <v>0</v>
      </c>
    </row>
    <row r="18" spans="1:5" x14ac:dyDescent="0.2">
      <c r="A18" s="1" t="s">
        <v>19</v>
      </c>
    </row>
    <row r="19" spans="1:5" x14ac:dyDescent="0.2">
      <c r="A19" t="s">
        <v>20</v>
      </c>
      <c r="B19" t="s">
        <v>2</v>
      </c>
      <c r="C19" t="s">
        <v>3</v>
      </c>
      <c r="D19" t="s">
        <v>4</v>
      </c>
      <c r="E19" t="s">
        <v>17</v>
      </c>
    </row>
    <row r="20" spans="1:5" ht="18" x14ac:dyDescent="0.25">
      <c r="A20" t="s">
        <v>21</v>
      </c>
      <c r="B20">
        <v>1</v>
      </c>
      <c r="C20">
        <v>14.006</v>
      </c>
      <c r="D20">
        <f>D3</f>
        <v>0.4</v>
      </c>
      <c r="E20" s="2">
        <f t="shared" ref="E20:E31" si="1">IFERROR((C20*1000)/(1000/(B20*D20)), 0)</f>
        <v>5.6024000000000003</v>
      </c>
    </row>
    <row r="21" spans="1:5" ht="18" x14ac:dyDescent="0.25">
      <c r="A21" t="s">
        <v>22</v>
      </c>
      <c r="B21">
        <v>1</v>
      </c>
      <c r="C21">
        <v>30.973700000000001</v>
      </c>
      <c r="D21">
        <f>D3</f>
        <v>0.4</v>
      </c>
      <c r="E21" s="2">
        <f t="shared" si="1"/>
        <v>12.389480000000001</v>
      </c>
    </row>
    <row r="22" spans="1:5" ht="18" x14ac:dyDescent="0.25">
      <c r="A22" t="s">
        <v>23</v>
      </c>
      <c r="B22">
        <v>2</v>
      </c>
      <c r="C22">
        <v>39.094299999999997</v>
      </c>
      <c r="D22">
        <f>D4</f>
        <v>0.6</v>
      </c>
      <c r="E22" s="2">
        <f t="shared" si="1"/>
        <v>46.913159999999991</v>
      </c>
    </row>
    <row r="23" spans="1:5" ht="18" x14ac:dyDescent="0.25">
      <c r="A23" t="s">
        <v>24</v>
      </c>
      <c r="B23">
        <v>2</v>
      </c>
      <c r="C23">
        <v>14.006</v>
      </c>
      <c r="D23">
        <f>D4</f>
        <v>0.6</v>
      </c>
      <c r="E23" s="2">
        <f t="shared" si="1"/>
        <v>16.807199999999998</v>
      </c>
    </row>
    <row r="24" spans="1:5" ht="18" x14ac:dyDescent="0.25">
      <c r="A24" t="s">
        <v>25</v>
      </c>
      <c r="B24">
        <v>2</v>
      </c>
      <c r="C24">
        <v>40.078000000000003</v>
      </c>
      <c r="D24">
        <f>D5</f>
        <v>0.55000000000000004</v>
      </c>
      <c r="E24" s="2">
        <f t="shared" si="1"/>
        <v>44.085800000000006</v>
      </c>
    </row>
    <row r="25" spans="1:5" ht="18" x14ac:dyDescent="0.25">
      <c r="A25" t="s">
        <v>26</v>
      </c>
      <c r="B25">
        <v>2</v>
      </c>
      <c r="C25">
        <v>28.012</v>
      </c>
      <c r="D25">
        <f>D5</f>
        <v>0.55000000000000004</v>
      </c>
      <c r="E25" s="2">
        <f t="shared" si="1"/>
        <v>30.813200000000002</v>
      </c>
    </row>
    <row r="26" spans="1:5" ht="18" x14ac:dyDescent="0.25">
      <c r="A26" t="s">
        <v>27</v>
      </c>
      <c r="B26">
        <v>1</v>
      </c>
      <c r="C26">
        <v>28.012</v>
      </c>
      <c r="D26">
        <f>D6</f>
        <v>0.6</v>
      </c>
      <c r="E26" s="2">
        <f t="shared" si="1"/>
        <v>16.807199999999998</v>
      </c>
    </row>
    <row r="27" spans="1:5" ht="18" x14ac:dyDescent="0.25">
      <c r="A27" t="s">
        <v>28</v>
      </c>
      <c r="B27">
        <v>1</v>
      </c>
      <c r="C27">
        <v>39.094299999999997</v>
      </c>
      <c r="D27">
        <f>D10</f>
        <v>0.6</v>
      </c>
      <c r="E27" s="2">
        <f t="shared" si="1"/>
        <v>23.456579999999995</v>
      </c>
    </row>
    <row r="28" spans="1:5" ht="18" x14ac:dyDescent="0.25">
      <c r="A28" t="s">
        <v>29</v>
      </c>
      <c r="B28">
        <v>1</v>
      </c>
      <c r="C28">
        <v>30.973700000000001</v>
      </c>
      <c r="D28">
        <f>D10</f>
        <v>0.6</v>
      </c>
      <c r="E28" s="2">
        <f t="shared" si="1"/>
        <v>18.584219999999998</v>
      </c>
    </row>
    <row r="29" spans="1:5" x14ac:dyDescent="0.2">
      <c r="A29" t="s">
        <v>30</v>
      </c>
      <c r="B29">
        <v>1</v>
      </c>
      <c r="C29">
        <v>39.094299999999997</v>
      </c>
      <c r="D29">
        <f>D11</f>
        <v>2.2000000000000002</v>
      </c>
      <c r="E29" s="2">
        <f t="shared" si="1"/>
        <v>86.007459999999995</v>
      </c>
    </row>
    <row r="30" spans="1:5" x14ac:dyDescent="0.2">
      <c r="A30" t="s">
        <v>31</v>
      </c>
      <c r="B30">
        <v>1</v>
      </c>
      <c r="C30">
        <v>35.453000000000003</v>
      </c>
      <c r="D30">
        <f>D11</f>
        <v>2.2000000000000002</v>
      </c>
      <c r="E30" s="2">
        <f t="shared" si="1"/>
        <v>77.996600000000001</v>
      </c>
    </row>
    <row r="31" spans="1:5" ht="18" x14ac:dyDescent="0.25">
      <c r="A31" t="s">
        <v>32</v>
      </c>
      <c r="B31">
        <v>1</v>
      </c>
      <c r="C31">
        <v>40.078000000000003</v>
      </c>
      <c r="D31">
        <f>D12</f>
        <v>0.2</v>
      </c>
      <c r="E31" s="2">
        <f t="shared" si="1"/>
        <v>8.0155999999999992</v>
      </c>
    </row>
    <row r="32" spans="1:5" x14ac:dyDescent="0.2">
      <c r="A32" t="s">
        <v>43</v>
      </c>
      <c r="B32">
        <v>1</v>
      </c>
      <c r="C32">
        <v>40.078000000000003</v>
      </c>
      <c r="D32">
        <f>D13</f>
        <v>2.7</v>
      </c>
      <c r="E32" s="2">
        <f t="shared" ref="E32:E34" si="2">IFERROR((C32*1000)/(1000/(B32*D32)), 0)</f>
        <v>108.21060000000001</v>
      </c>
    </row>
    <row r="33" spans="1:5" x14ac:dyDescent="0.2">
      <c r="A33" t="s">
        <v>44</v>
      </c>
      <c r="B33">
        <v>1</v>
      </c>
      <c r="C33">
        <f>C30*2</f>
        <v>70.906000000000006</v>
      </c>
      <c r="D33">
        <f>D13</f>
        <v>2.7</v>
      </c>
      <c r="E33" s="2">
        <f t="shared" si="2"/>
        <v>191.44620000000003</v>
      </c>
    </row>
    <row r="34" spans="1:5" ht="18" x14ac:dyDescent="0.25">
      <c r="A34" t="s">
        <v>33</v>
      </c>
      <c r="B34">
        <v>2</v>
      </c>
      <c r="C34">
        <v>24.305</v>
      </c>
      <c r="D34">
        <f>D14</f>
        <v>1</v>
      </c>
      <c r="E34" s="2">
        <f t="shared" si="2"/>
        <v>48.61</v>
      </c>
    </row>
    <row r="35" spans="1:5" ht="18" x14ac:dyDescent="0.25">
      <c r="A35" t="s">
        <v>40</v>
      </c>
      <c r="B35">
        <v>2</v>
      </c>
      <c r="C35">
        <v>32.064999999999998</v>
      </c>
      <c r="D35">
        <f>D14</f>
        <v>1</v>
      </c>
      <c r="E35" s="2">
        <f>IFERROR((C35*1000)/(1000/(B35*D35)), 0)</f>
        <v>64.13</v>
      </c>
    </row>
    <row r="37" spans="1:5" x14ac:dyDescent="0.2">
      <c r="A37" s="1" t="s">
        <v>42</v>
      </c>
    </row>
    <row r="38" spans="1:5" x14ac:dyDescent="0.2">
      <c r="A38" t="s">
        <v>41</v>
      </c>
      <c r="B38" t="s">
        <v>17</v>
      </c>
      <c r="C38" t="s">
        <v>45</v>
      </c>
      <c r="D38" t="s">
        <v>46</v>
      </c>
    </row>
    <row r="39" spans="1:5" x14ac:dyDescent="0.2">
      <c r="A39" t="s">
        <v>34</v>
      </c>
      <c r="B39" s="2">
        <f>SUM(E20,E23,E25,E26)</f>
        <v>70.03</v>
      </c>
      <c r="C39" s="2">
        <v>70</v>
      </c>
      <c r="D39" s="2">
        <f t="shared" ref="D39:D44" si="3">C39-B39</f>
        <v>-3.0000000000001137E-2</v>
      </c>
    </row>
    <row r="40" spans="1:5" x14ac:dyDescent="0.2">
      <c r="A40" t="s">
        <v>35</v>
      </c>
      <c r="B40" s="2">
        <f>SUM(E21,E28)</f>
        <v>30.973700000000001</v>
      </c>
      <c r="C40" s="2">
        <v>31</v>
      </c>
      <c r="D40" s="2">
        <f t="shared" si="3"/>
        <v>2.6299999999999102E-2</v>
      </c>
    </row>
    <row r="41" spans="1:5" x14ac:dyDescent="0.2">
      <c r="A41" t="s">
        <v>36</v>
      </c>
      <c r="B41" s="2">
        <f>SUM(E22,E27,E29)</f>
        <v>156.37719999999996</v>
      </c>
      <c r="C41">
        <v>156.4</v>
      </c>
      <c r="D41" s="2">
        <f t="shared" si="3"/>
        <v>2.2800000000046339E-2</v>
      </c>
    </row>
    <row r="42" spans="1:5" x14ac:dyDescent="0.2">
      <c r="A42" t="s">
        <v>37</v>
      </c>
      <c r="B42" s="2">
        <f>E31+E24+E32</f>
        <v>160.31200000000001</v>
      </c>
      <c r="C42">
        <v>160.30000000000001</v>
      </c>
      <c r="D42" s="2">
        <f t="shared" si="3"/>
        <v>-1.2000000000000455E-2</v>
      </c>
    </row>
    <row r="43" spans="1:5" x14ac:dyDescent="0.2">
      <c r="A43" t="s">
        <v>38</v>
      </c>
      <c r="B43" s="2">
        <f>E34</f>
        <v>48.61</v>
      </c>
      <c r="C43">
        <v>48.6</v>
      </c>
      <c r="D43" s="2">
        <f t="shared" si="3"/>
        <v>-9.9999999999980105E-3</v>
      </c>
    </row>
    <row r="44" spans="1:5" x14ac:dyDescent="0.2">
      <c r="A44" t="s">
        <v>39</v>
      </c>
      <c r="B44" s="2">
        <f>E35</f>
        <v>64.13</v>
      </c>
      <c r="C44">
        <v>64.099999999999994</v>
      </c>
      <c r="D44" s="2">
        <f t="shared" si="3"/>
        <v>-3.0000000000001137E-2</v>
      </c>
    </row>
    <row r="46" spans="1:5" x14ac:dyDescent="0.2">
      <c r="A46" s="3" t="s">
        <v>48</v>
      </c>
      <c r="B46" s="9">
        <v>6.05</v>
      </c>
    </row>
    <row r="48" spans="1:5" x14ac:dyDescent="0.2">
      <c r="A48" s="5" t="s">
        <v>49</v>
      </c>
    </row>
    <row r="49" spans="1:4" x14ac:dyDescent="0.2">
      <c r="A49" t="s">
        <v>20</v>
      </c>
      <c r="B49" t="s">
        <v>2</v>
      </c>
      <c r="C49" t="s">
        <v>50</v>
      </c>
      <c r="D49" t="s">
        <v>51</v>
      </c>
    </row>
    <row r="50" spans="1:4" x14ac:dyDescent="0.2">
      <c r="A50" t="s">
        <v>52</v>
      </c>
      <c r="B50">
        <v>1</v>
      </c>
      <c r="C50">
        <f>D3</f>
        <v>0.4</v>
      </c>
      <c r="D50">
        <f>B50*C50</f>
        <v>0.4</v>
      </c>
    </row>
    <row r="51" spans="1:4" x14ac:dyDescent="0.2">
      <c r="A51" t="s">
        <v>53</v>
      </c>
      <c r="B51">
        <v>2</v>
      </c>
      <c r="C51">
        <f>D4</f>
        <v>0.6</v>
      </c>
      <c r="D51">
        <f t="shared" ref="D51:D54" si="4">B51*C51</f>
        <v>1.2</v>
      </c>
    </row>
    <row r="52" spans="1:4" x14ac:dyDescent="0.2">
      <c r="A52" t="s">
        <v>54</v>
      </c>
      <c r="B52">
        <v>2</v>
      </c>
      <c r="C52">
        <f>D5</f>
        <v>0.55000000000000004</v>
      </c>
      <c r="D52">
        <f>B52*C52*2</f>
        <v>2.2000000000000002</v>
      </c>
    </row>
    <row r="53" spans="1:4" x14ac:dyDescent="0.2">
      <c r="A53" t="s">
        <v>55</v>
      </c>
      <c r="B53">
        <v>1</v>
      </c>
      <c r="C53">
        <f>D6</f>
        <v>0.6</v>
      </c>
      <c r="D53">
        <f t="shared" si="4"/>
        <v>0.6</v>
      </c>
    </row>
    <row r="54" spans="1:4" x14ac:dyDescent="0.2">
      <c r="A54" t="s">
        <v>56</v>
      </c>
      <c r="B54">
        <v>1</v>
      </c>
      <c r="C54">
        <f>D6</f>
        <v>0.6</v>
      </c>
      <c r="D54">
        <f t="shared" si="4"/>
        <v>0.6</v>
      </c>
    </row>
    <row r="56" spans="1:4" x14ac:dyDescent="0.2">
      <c r="A56" t="s">
        <v>57</v>
      </c>
      <c r="B56" s="7">
        <f>IFERROR((D50+D53)/(D51+D52+D54), 0)</f>
        <v>0.25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B7B44-52D0-4D44-AF95-1551EAF5830D}">
  <dimension ref="A1:E56"/>
  <sheetViews>
    <sheetView zoomScale="218" workbookViewId="0">
      <selection activeCell="D3" sqref="D3:D6"/>
    </sheetView>
  </sheetViews>
  <sheetFormatPr baseColWidth="10" defaultRowHeight="16" x14ac:dyDescent="0.2"/>
  <cols>
    <col min="1" max="1" width="27.33203125" bestFit="1" customWidth="1"/>
  </cols>
  <sheetData>
    <row r="1" spans="1:5" x14ac:dyDescent="0.2">
      <c r="A1" s="1" t="s">
        <v>0</v>
      </c>
      <c r="B1" s="1"/>
    </row>
    <row r="2" spans="1:5" x14ac:dyDescent="0.2">
      <c r="A2" t="s">
        <v>1</v>
      </c>
      <c r="B2" t="s">
        <v>2</v>
      </c>
      <c r="C2" t="s">
        <v>3</v>
      </c>
      <c r="D2" t="s">
        <v>4</v>
      </c>
      <c r="E2" t="s">
        <v>17</v>
      </c>
    </row>
    <row r="3" spans="1:5" ht="18" x14ac:dyDescent="0.25">
      <c r="A3" t="s">
        <v>5</v>
      </c>
      <c r="B3">
        <v>1</v>
      </c>
      <c r="C3">
        <v>115.3</v>
      </c>
      <c r="D3">
        <v>0.4</v>
      </c>
      <c r="E3" s="2">
        <f>IFERROR((C3*1000)/(1000/(B3*D3)), 0)</f>
        <v>46.12</v>
      </c>
    </row>
    <row r="4" spans="1:5" ht="18" x14ac:dyDescent="0.25">
      <c r="A4" t="s">
        <v>6</v>
      </c>
      <c r="B4">
        <v>2</v>
      </c>
      <c r="C4">
        <v>101.1</v>
      </c>
      <c r="D4">
        <v>0.6</v>
      </c>
      <c r="E4" s="2">
        <f t="shared" ref="E4:E16" si="0">IFERROR((C4*1000)/(1000/(B4*D4)), 0)</f>
        <v>121.32</v>
      </c>
    </row>
    <row r="5" spans="1:5" ht="18" x14ac:dyDescent="0.25">
      <c r="A5" t="s">
        <v>7</v>
      </c>
      <c r="B5">
        <v>2</v>
      </c>
      <c r="C5">
        <v>164.08799999999999</v>
      </c>
      <c r="D5">
        <v>0.55000000000000004</v>
      </c>
      <c r="E5" s="2">
        <f>IFERROR((C5*1000)/(1000/(B5*D5)), 0)</f>
        <v>180.49680000000001</v>
      </c>
    </row>
    <row r="6" spans="1:5" ht="18" x14ac:dyDescent="0.25">
      <c r="A6" t="s">
        <v>8</v>
      </c>
      <c r="B6">
        <v>1</v>
      </c>
      <c r="C6">
        <v>80.043000000000006</v>
      </c>
      <c r="D6">
        <v>0.6</v>
      </c>
      <c r="E6" s="2">
        <f t="shared" si="0"/>
        <v>48.025799999999997</v>
      </c>
    </row>
    <row r="7" spans="1:5" x14ac:dyDescent="0.2">
      <c r="E7" s="2"/>
    </row>
    <row r="8" spans="1:5" x14ac:dyDescent="0.2">
      <c r="A8" s="1" t="s">
        <v>9</v>
      </c>
      <c r="E8" s="2"/>
    </row>
    <row r="9" spans="1:5" x14ac:dyDescent="0.2">
      <c r="A9" t="s">
        <v>1</v>
      </c>
      <c r="B9" t="s">
        <v>2</v>
      </c>
      <c r="C9" t="s">
        <v>3</v>
      </c>
      <c r="D9" t="s">
        <v>4</v>
      </c>
      <c r="E9" s="2" t="s">
        <v>17</v>
      </c>
    </row>
    <row r="10" spans="1:5" ht="18" x14ac:dyDescent="0.25">
      <c r="A10" t="s">
        <v>10</v>
      </c>
      <c r="B10">
        <v>1</v>
      </c>
      <c r="C10">
        <v>136.08600000000001</v>
      </c>
      <c r="D10">
        <v>1.1000000000000001</v>
      </c>
      <c r="E10" s="2">
        <f t="shared" si="0"/>
        <v>149.69460000000001</v>
      </c>
    </row>
    <row r="11" spans="1:5" x14ac:dyDescent="0.2">
      <c r="A11" t="s">
        <v>11</v>
      </c>
      <c r="B11">
        <v>1</v>
      </c>
      <c r="C11">
        <v>74.555000000000007</v>
      </c>
      <c r="D11">
        <v>1.7</v>
      </c>
      <c r="E11" s="2">
        <f t="shared" si="0"/>
        <v>126.7435</v>
      </c>
    </row>
    <row r="12" spans="1:5" ht="18" x14ac:dyDescent="0.25">
      <c r="A12" t="s">
        <v>12</v>
      </c>
      <c r="B12">
        <v>1</v>
      </c>
      <c r="C12">
        <v>100.087</v>
      </c>
      <c r="D12">
        <v>0.3</v>
      </c>
      <c r="E12" s="2">
        <f t="shared" si="0"/>
        <v>30.0261</v>
      </c>
    </row>
    <row r="13" spans="1:5" ht="18" x14ac:dyDescent="0.25">
      <c r="A13" t="s">
        <v>16</v>
      </c>
      <c r="B13">
        <v>1</v>
      </c>
      <c r="C13">
        <v>110.98</v>
      </c>
      <c r="D13">
        <v>2.6</v>
      </c>
      <c r="E13" s="2">
        <f t="shared" si="0"/>
        <v>288.548</v>
      </c>
    </row>
    <row r="14" spans="1:5" ht="18" x14ac:dyDescent="0.25">
      <c r="A14" t="s">
        <v>13</v>
      </c>
      <c r="B14">
        <v>2</v>
      </c>
      <c r="C14">
        <v>246.48</v>
      </c>
      <c r="D14">
        <v>1</v>
      </c>
      <c r="E14" s="2">
        <f t="shared" si="0"/>
        <v>492.96</v>
      </c>
    </row>
    <row r="15" spans="1:5" x14ac:dyDescent="0.2">
      <c r="A15" t="s">
        <v>14</v>
      </c>
      <c r="B15">
        <v>1</v>
      </c>
      <c r="C15" t="s">
        <v>18</v>
      </c>
      <c r="D15">
        <v>1</v>
      </c>
      <c r="E15" s="2">
        <f t="shared" si="0"/>
        <v>0</v>
      </c>
    </row>
    <row r="16" spans="1:5" x14ac:dyDescent="0.2">
      <c r="A16" t="s">
        <v>15</v>
      </c>
      <c r="B16">
        <v>1</v>
      </c>
      <c r="C16" t="s">
        <v>18</v>
      </c>
      <c r="D16">
        <v>1</v>
      </c>
      <c r="E16" s="2">
        <f t="shared" si="0"/>
        <v>0</v>
      </c>
    </row>
    <row r="18" spans="1:5" x14ac:dyDescent="0.2">
      <c r="A18" s="1" t="s">
        <v>19</v>
      </c>
    </row>
    <row r="19" spans="1:5" x14ac:dyDescent="0.2">
      <c r="A19" t="s">
        <v>20</v>
      </c>
      <c r="B19" t="s">
        <v>2</v>
      </c>
      <c r="C19" t="s">
        <v>3</v>
      </c>
      <c r="D19" t="s">
        <v>4</v>
      </c>
      <c r="E19" t="s">
        <v>17</v>
      </c>
    </row>
    <row r="20" spans="1:5" ht="18" x14ac:dyDescent="0.25">
      <c r="A20" t="s">
        <v>21</v>
      </c>
      <c r="B20">
        <v>1</v>
      </c>
      <c r="C20">
        <v>14.006</v>
      </c>
      <c r="D20">
        <f>D3</f>
        <v>0.4</v>
      </c>
      <c r="E20" s="2">
        <f t="shared" ref="E20:E31" si="1">IFERROR((C20*1000)/(1000/(B20*D20)), 0)</f>
        <v>5.6024000000000003</v>
      </c>
    </row>
    <row r="21" spans="1:5" ht="18" x14ac:dyDescent="0.25">
      <c r="A21" t="s">
        <v>22</v>
      </c>
      <c r="B21">
        <v>1</v>
      </c>
      <c r="C21">
        <v>30.973700000000001</v>
      </c>
      <c r="D21">
        <f>D3</f>
        <v>0.4</v>
      </c>
      <c r="E21" s="2">
        <f t="shared" si="1"/>
        <v>12.389480000000001</v>
      </c>
    </row>
    <row r="22" spans="1:5" ht="18" x14ac:dyDescent="0.25">
      <c r="A22" t="s">
        <v>23</v>
      </c>
      <c r="B22">
        <v>2</v>
      </c>
      <c r="C22">
        <v>39.094299999999997</v>
      </c>
      <c r="D22">
        <f>D4</f>
        <v>0.6</v>
      </c>
      <c r="E22" s="2">
        <f t="shared" si="1"/>
        <v>46.913159999999991</v>
      </c>
    </row>
    <row r="23" spans="1:5" ht="18" x14ac:dyDescent="0.25">
      <c r="A23" t="s">
        <v>24</v>
      </c>
      <c r="B23">
        <v>2</v>
      </c>
      <c r="C23">
        <v>14.006</v>
      </c>
      <c r="D23">
        <f>D4</f>
        <v>0.6</v>
      </c>
      <c r="E23" s="2">
        <f t="shared" si="1"/>
        <v>16.807199999999998</v>
      </c>
    </row>
    <row r="24" spans="1:5" ht="18" x14ac:dyDescent="0.25">
      <c r="A24" t="s">
        <v>25</v>
      </c>
      <c r="B24">
        <v>2</v>
      </c>
      <c r="C24">
        <v>40.078000000000003</v>
      </c>
      <c r="D24">
        <f>D5</f>
        <v>0.55000000000000004</v>
      </c>
      <c r="E24" s="2">
        <f t="shared" si="1"/>
        <v>44.085800000000006</v>
      </c>
    </row>
    <row r="25" spans="1:5" ht="18" x14ac:dyDescent="0.25">
      <c r="A25" t="s">
        <v>26</v>
      </c>
      <c r="B25">
        <v>2</v>
      </c>
      <c r="C25">
        <v>28.012</v>
      </c>
      <c r="D25">
        <f>D5</f>
        <v>0.55000000000000004</v>
      </c>
      <c r="E25" s="2">
        <f t="shared" si="1"/>
        <v>30.813200000000002</v>
      </c>
    </row>
    <row r="26" spans="1:5" ht="18" x14ac:dyDescent="0.25">
      <c r="A26" t="s">
        <v>27</v>
      </c>
      <c r="B26">
        <v>1</v>
      </c>
      <c r="C26">
        <v>28.012</v>
      </c>
      <c r="D26">
        <f>D6</f>
        <v>0.6</v>
      </c>
      <c r="E26" s="2">
        <f t="shared" si="1"/>
        <v>16.807199999999998</v>
      </c>
    </row>
    <row r="27" spans="1:5" ht="18" x14ac:dyDescent="0.25">
      <c r="A27" t="s">
        <v>28</v>
      </c>
      <c r="B27">
        <v>1</v>
      </c>
      <c r="C27">
        <v>39.094299999999997</v>
      </c>
      <c r="D27">
        <f>D10</f>
        <v>1.1000000000000001</v>
      </c>
      <c r="E27" s="2">
        <f t="shared" si="1"/>
        <v>43.003729999999997</v>
      </c>
    </row>
    <row r="28" spans="1:5" ht="18" x14ac:dyDescent="0.25">
      <c r="A28" t="s">
        <v>29</v>
      </c>
      <c r="B28">
        <v>1</v>
      </c>
      <c r="C28">
        <v>30.973700000000001</v>
      </c>
      <c r="D28">
        <f>D10</f>
        <v>1.1000000000000001</v>
      </c>
      <c r="E28" s="2">
        <f t="shared" si="1"/>
        <v>34.071070000000006</v>
      </c>
    </row>
    <row r="29" spans="1:5" x14ac:dyDescent="0.2">
      <c r="A29" t="s">
        <v>30</v>
      </c>
      <c r="B29">
        <v>1</v>
      </c>
      <c r="C29">
        <v>39.094299999999997</v>
      </c>
      <c r="D29">
        <f>D11</f>
        <v>1.7</v>
      </c>
      <c r="E29" s="2">
        <f t="shared" si="1"/>
        <v>66.460309999999993</v>
      </c>
    </row>
    <row r="30" spans="1:5" x14ac:dyDescent="0.2">
      <c r="A30" t="s">
        <v>31</v>
      </c>
      <c r="B30">
        <v>1</v>
      </c>
      <c r="C30">
        <v>35.453000000000003</v>
      </c>
      <c r="D30">
        <f>D11</f>
        <v>1.7</v>
      </c>
      <c r="E30" s="2">
        <f t="shared" si="1"/>
        <v>60.270099999999999</v>
      </c>
    </row>
    <row r="31" spans="1:5" ht="18" x14ac:dyDescent="0.25">
      <c r="A31" t="s">
        <v>32</v>
      </c>
      <c r="B31">
        <v>1</v>
      </c>
      <c r="C31">
        <v>40.078000000000003</v>
      </c>
      <c r="D31">
        <f>D12</f>
        <v>0.3</v>
      </c>
      <c r="E31" s="2">
        <f t="shared" si="1"/>
        <v>12.023399999999999</v>
      </c>
    </row>
    <row r="32" spans="1:5" x14ac:dyDescent="0.2">
      <c r="A32" t="s">
        <v>43</v>
      </c>
      <c r="B32">
        <v>1</v>
      </c>
      <c r="C32">
        <v>40.078000000000003</v>
      </c>
      <c r="D32">
        <f>D13</f>
        <v>2.6</v>
      </c>
      <c r="E32" s="2">
        <f t="shared" ref="E32:E34" si="2">IFERROR((C32*1000)/(1000/(B32*D32)), 0)</f>
        <v>104.20280000000001</v>
      </c>
    </row>
    <row r="33" spans="1:5" x14ac:dyDescent="0.2">
      <c r="A33" t="s">
        <v>44</v>
      </c>
      <c r="B33">
        <v>1</v>
      </c>
      <c r="C33">
        <f>C30*2</f>
        <v>70.906000000000006</v>
      </c>
      <c r="D33">
        <f>D13</f>
        <v>2.6</v>
      </c>
      <c r="E33" s="2">
        <f t="shared" si="2"/>
        <v>184.35560000000001</v>
      </c>
    </row>
    <row r="34" spans="1:5" ht="18" x14ac:dyDescent="0.25">
      <c r="A34" t="s">
        <v>33</v>
      </c>
      <c r="B34">
        <v>2</v>
      </c>
      <c r="C34">
        <v>24.305</v>
      </c>
      <c r="D34">
        <f>D14</f>
        <v>1</v>
      </c>
      <c r="E34" s="2">
        <f t="shared" si="2"/>
        <v>48.61</v>
      </c>
    </row>
    <row r="35" spans="1:5" ht="18" x14ac:dyDescent="0.25">
      <c r="A35" t="s">
        <v>40</v>
      </c>
      <c r="B35">
        <v>2</v>
      </c>
      <c r="C35">
        <v>32.064999999999998</v>
      </c>
      <c r="D35">
        <f>D14</f>
        <v>1</v>
      </c>
      <c r="E35" s="2">
        <f>IFERROR((C35*1000)/(1000/(B35*D35)), 0)</f>
        <v>64.13</v>
      </c>
    </row>
    <row r="37" spans="1:5" x14ac:dyDescent="0.2">
      <c r="A37" s="1" t="s">
        <v>42</v>
      </c>
    </row>
    <row r="38" spans="1:5" x14ac:dyDescent="0.2">
      <c r="A38" t="s">
        <v>41</v>
      </c>
      <c r="B38" t="s">
        <v>17</v>
      </c>
      <c r="C38" t="s">
        <v>45</v>
      </c>
      <c r="D38" t="s">
        <v>46</v>
      </c>
    </row>
    <row r="39" spans="1:5" x14ac:dyDescent="0.2">
      <c r="A39" t="s">
        <v>34</v>
      </c>
      <c r="B39" s="2">
        <f>SUM(E20,E23,E25,E26)</f>
        <v>70.03</v>
      </c>
      <c r="C39">
        <v>70</v>
      </c>
      <c r="D39" s="2">
        <f t="shared" ref="D39:D44" si="3">C39-B39</f>
        <v>-3.0000000000001137E-2</v>
      </c>
    </row>
    <row r="40" spans="1:5" x14ac:dyDescent="0.2">
      <c r="A40" t="s">
        <v>35</v>
      </c>
      <c r="B40" s="2">
        <f>SUM(E21,E28)</f>
        <v>46.460550000000005</v>
      </c>
      <c r="C40">
        <v>46.5</v>
      </c>
      <c r="D40" s="2">
        <f t="shared" si="3"/>
        <v>3.94499999999951E-2</v>
      </c>
    </row>
    <row r="41" spans="1:5" x14ac:dyDescent="0.2">
      <c r="A41" t="s">
        <v>36</v>
      </c>
      <c r="B41" s="2">
        <f>SUM(E22,E27,E29)</f>
        <v>156.37719999999999</v>
      </c>
      <c r="C41">
        <v>156.4</v>
      </c>
      <c r="D41" s="2">
        <f t="shared" si="3"/>
        <v>2.2800000000017917E-2</v>
      </c>
    </row>
    <row r="42" spans="1:5" x14ac:dyDescent="0.2">
      <c r="A42" t="s">
        <v>37</v>
      </c>
      <c r="B42" s="2">
        <f>E31+E24+E32</f>
        <v>160.31200000000001</v>
      </c>
      <c r="C42">
        <v>160.30000000000001</v>
      </c>
      <c r="D42" s="2">
        <f t="shared" si="3"/>
        <v>-1.2000000000000455E-2</v>
      </c>
    </row>
    <row r="43" spans="1:5" x14ac:dyDescent="0.2">
      <c r="A43" t="s">
        <v>38</v>
      </c>
      <c r="B43" s="2">
        <f>E34</f>
        <v>48.61</v>
      </c>
      <c r="C43">
        <v>48.6</v>
      </c>
      <c r="D43" s="2">
        <f t="shared" si="3"/>
        <v>-9.9999999999980105E-3</v>
      </c>
    </row>
    <row r="44" spans="1:5" x14ac:dyDescent="0.2">
      <c r="A44" t="s">
        <v>39</v>
      </c>
      <c r="B44" s="2">
        <f>E35</f>
        <v>64.13</v>
      </c>
      <c r="C44">
        <v>64.099999999999994</v>
      </c>
      <c r="D44" s="2">
        <f t="shared" si="3"/>
        <v>-3.0000000000001137E-2</v>
      </c>
    </row>
    <row r="46" spans="1:5" x14ac:dyDescent="0.2">
      <c r="A46" s="3" t="s">
        <v>48</v>
      </c>
      <c r="B46" s="4">
        <v>6.1</v>
      </c>
    </row>
    <row r="48" spans="1:5" x14ac:dyDescent="0.2">
      <c r="A48" s="5" t="s">
        <v>49</v>
      </c>
    </row>
    <row r="49" spans="1:4" x14ac:dyDescent="0.2">
      <c r="A49" t="s">
        <v>20</v>
      </c>
      <c r="B49" t="s">
        <v>2</v>
      </c>
      <c r="C49" t="s">
        <v>50</v>
      </c>
      <c r="D49" t="s">
        <v>51</v>
      </c>
    </row>
    <row r="50" spans="1:4" x14ac:dyDescent="0.2">
      <c r="A50" t="s">
        <v>52</v>
      </c>
      <c r="B50">
        <v>1</v>
      </c>
      <c r="C50">
        <f>D3</f>
        <v>0.4</v>
      </c>
      <c r="D50">
        <f>B50*C50</f>
        <v>0.4</v>
      </c>
    </row>
    <row r="51" spans="1:4" x14ac:dyDescent="0.2">
      <c r="A51" t="s">
        <v>53</v>
      </c>
      <c r="B51">
        <v>2</v>
      </c>
      <c r="C51">
        <f>D4</f>
        <v>0.6</v>
      </c>
      <c r="D51">
        <f t="shared" ref="D51:D54" si="4">B51*C51</f>
        <v>1.2</v>
      </c>
    </row>
    <row r="52" spans="1:4" x14ac:dyDescent="0.2">
      <c r="A52" t="s">
        <v>54</v>
      </c>
      <c r="B52">
        <v>2</v>
      </c>
      <c r="C52">
        <f>D5</f>
        <v>0.55000000000000004</v>
      </c>
      <c r="D52">
        <f>B52*C52*2</f>
        <v>2.2000000000000002</v>
      </c>
    </row>
    <row r="53" spans="1:4" x14ac:dyDescent="0.2">
      <c r="A53" t="s">
        <v>55</v>
      </c>
      <c r="B53">
        <v>1</v>
      </c>
      <c r="C53">
        <f>D6</f>
        <v>0.6</v>
      </c>
      <c r="D53">
        <f t="shared" si="4"/>
        <v>0.6</v>
      </c>
    </row>
    <row r="54" spans="1:4" x14ac:dyDescent="0.2">
      <c r="A54" t="s">
        <v>56</v>
      </c>
      <c r="B54">
        <v>1</v>
      </c>
      <c r="C54">
        <f>D6</f>
        <v>0.6</v>
      </c>
      <c r="D54">
        <f t="shared" si="4"/>
        <v>0.6</v>
      </c>
    </row>
    <row r="56" spans="1:4" x14ac:dyDescent="0.2">
      <c r="A56" t="s">
        <v>57</v>
      </c>
      <c r="B56" s="7">
        <f>IFERROR((D50+D53)/(D51+D52+D54), 0)</f>
        <v>0.25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AFD18-DA23-7543-8823-72036396CBF7}">
  <dimension ref="A1:E56"/>
  <sheetViews>
    <sheetView tabSelected="1" topLeftCell="A33" zoomScale="214" workbookViewId="0">
      <selection activeCell="B46" sqref="B46"/>
    </sheetView>
  </sheetViews>
  <sheetFormatPr baseColWidth="10" defaultRowHeight="16" x14ac:dyDescent="0.2"/>
  <cols>
    <col min="1" max="1" width="27.33203125" bestFit="1" customWidth="1"/>
  </cols>
  <sheetData>
    <row r="1" spans="1:5" x14ac:dyDescent="0.2">
      <c r="A1" s="1" t="s">
        <v>0</v>
      </c>
      <c r="B1" s="1"/>
    </row>
    <row r="2" spans="1:5" x14ac:dyDescent="0.2">
      <c r="A2" t="s">
        <v>1</v>
      </c>
      <c r="B2" t="s">
        <v>2</v>
      </c>
      <c r="C2" t="s">
        <v>3</v>
      </c>
      <c r="D2" t="s">
        <v>4</v>
      </c>
      <c r="E2" t="s">
        <v>17</v>
      </c>
    </row>
    <row r="3" spans="1:5" ht="18" x14ac:dyDescent="0.25">
      <c r="A3" t="s">
        <v>5</v>
      </c>
      <c r="B3">
        <v>1</v>
      </c>
      <c r="C3">
        <v>115.3</v>
      </c>
      <c r="D3">
        <v>0.4</v>
      </c>
      <c r="E3" s="2">
        <f>IFERROR((C3*1000)/(1000/(B3*D3)), 0)</f>
        <v>46.12</v>
      </c>
    </row>
    <row r="4" spans="1:5" ht="18" x14ac:dyDescent="0.25">
      <c r="A4" t="s">
        <v>6</v>
      </c>
      <c r="B4">
        <v>2</v>
      </c>
      <c r="C4">
        <v>101.1</v>
      </c>
      <c r="D4">
        <v>0.6</v>
      </c>
      <c r="E4" s="2">
        <f t="shared" ref="E4:E16" si="0">IFERROR((C4*1000)/(1000/(B4*D4)), 0)</f>
        <v>121.32</v>
      </c>
    </row>
    <row r="5" spans="1:5" ht="18" x14ac:dyDescent="0.25">
      <c r="A5" t="s">
        <v>7</v>
      </c>
      <c r="B5">
        <v>2</v>
      </c>
      <c r="C5">
        <v>164.08799999999999</v>
      </c>
      <c r="D5">
        <v>0.55000000000000004</v>
      </c>
      <c r="E5" s="2">
        <f>IFERROR((C5*1000)/(1000/(B5*D5)), 0)</f>
        <v>180.49680000000001</v>
      </c>
    </row>
    <row r="6" spans="1:5" ht="18" x14ac:dyDescent="0.25">
      <c r="A6" t="s">
        <v>8</v>
      </c>
      <c r="B6">
        <v>1</v>
      </c>
      <c r="C6">
        <v>80.043000000000006</v>
      </c>
      <c r="D6">
        <v>0.6</v>
      </c>
      <c r="E6" s="2">
        <f t="shared" si="0"/>
        <v>48.025799999999997</v>
      </c>
    </row>
    <row r="7" spans="1:5" x14ac:dyDescent="0.2">
      <c r="E7" s="2"/>
    </row>
    <row r="8" spans="1:5" x14ac:dyDescent="0.2">
      <c r="A8" s="1" t="s">
        <v>9</v>
      </c>
      <c r="E8" s="2"/>
    </row>
    <row r="9" spans="1:5" x14ac:dyDescent="0.2">
      <c r="A9" t="s">
        <v>1</v>
      </c>
      <c r="B9" t="s">
        <v>2</v>
      </c>
      <c r="C9" t="s">
        <v>3</v>
      </c>
      <c r="D9" t="s">
        <v>4</v>
      </c>
      <c r="E9" s="2" t="s">
        <v>17</v>
      </c>
    </row>
    <row r="10" spans="1:5" ht="18" x14ac:dyDescent="0.25">
      <c r="A10" t="s">
        <v>10</v>
      </c>
      <c r="B10">
        <v>1</v>
      </c>
      <c r="C10">
        <v>136.08600000000001</v>
      </c>
      <c r="D10">
        <v>1.6</v>
      </c>
      <c r="E10" s="2">
        <f t="shared" si="0"/>
        <v>217.73759999999999</v>
      </c>
    </row>
    <row r="11" spans="1:5" x14ac:dyDescent="0.2">
      <c r="A11" t="s">
        <v>11</v>
      </c>
      <c r="B11">
        <v>1</v>
      </c>
      <c r="C11">
        <v>74.555000000000007</v>
      </c>
      <c r="D11">
        <v>1.2</v>
      </c>
      <c r="E11" s="2">
        <f t="shared" si="0"/>
        <v>89.465999999999994</v>
      </c>
    </row>
    <row r="12" spans="1:5" ht="18" x14ac:dyDescent="0.25">
      <c r="A12" t="s">
        <v>12</v>
      </c>
      <c r="B12">
        <v>1</v>
      </c>
      <c r="C12">
        <v>100.087</v>
      </c>
      <c r="D12">
        <v>0.2</v>
      </c>
      <c r="E12" s="2">
        <f t="shared" si="0"/>
        <v>20.017399999999999</v>
      </c>
    </row>
    <row r="13" spans="1:5" ht="18" x14ac:dyDescent="0.25">
      <c r="A13" t="s">
        <v>16</v>
      </c>
      <c r="B13">
        <v>1</v>
      </c>
      <c r="C13">
        <v>110.98</v>
      </c>
      <c r="D13">
        <v>2.7</v>
      </c>
      <c r="E13" s="2">
        <f t="shared" si="0"/>
        <v>299.64600000000002</v>
      </c>
    </row>
    <row r="14" spans="1:5" ht="18" x14ac:dyDescent="0.25">
      <c r="A14" t="s">
        <v>13</v>
      </c>
      <c r="B14">
        <v>2</v>
      </c>
      <c r="C14">
        <v>246.48</v>
      </c>
      <c r="D14">
        <v>1</v>
      </c>
      <c r="E14" s="2">
        <f t="shared" si="0"/>
        <v>492.96</v>
      </c>
    </row>
    <row r="15" spans="1:5" x14ac:dyDescent="0.2">
      <c r="A15" t="s">
        <v>14</v>
      </c>
      <c r="B15">
        <v>1</v>
      </c>
      <c r="C15" t="s">
        <v>18</v>
      </c>
      <c r="D15">
        <v>1</v>
      </c>
      <c r="E15" s="2">
        <f t="shared" si="0"/>
        <v>0</v>
      </c>
    </row>
    <row r="16" spans="1:5" x14ac:dyDescent="0.2">
      <c r="A16" t="s">
        <v>15</v>
      </c>
      <c r="B16">
        <v>1</v>
      </c>
      <c r="C16" t="s">
        <v>18</v>
      </c>
      <c r="D16">
        <v>1</v>
      </c>
      <c r="E16" s="2">
        <f t="shared" si="0"/>
        <v>0</v>
      </c>
    </row>
    <row r="18" spans="1:5" x14ac:dyDescent="0.2">
      <c r="A18" s="1" t="s">
        <v>19</v>
      </c>
    </row>
    <row r="19" spans="1:5" x14ac:dyDescent="0.2">
      <c r="A19" t="s">
        <v>20</v>
      </c>
      <c r="B19" t="s">
        <v>2</v>
      </c>
      <c r="C19" t="s">
        <v>3</v>
      </c>
      <c r="D19" t="s">
        <v>4</v>
      </c>
      <c r="E19" t="s">
        <v>17</v>
      </c>
    </row>
    <row r="20" spans="1:5" ht="18" x14ac:dyDescent="0.25">
      <c r="A20" t="s">
        <v>21</v>
      </c>
      <c r="B20">
        <v>1</v>
      </c>
      <c r="C20">
        <v>14.006</v>
      </c>
      <c r="D20">
        <f>D3</f>
        <v>0.4</v>
      </c>
      <c r="E20" s="2">
        <f t="shared" ref="E20:E31" si="1">IFERROR((C20*1000)/(1000/(B20*D20)), 0)</f>
        <v>5.6024000000000003</v>
      </c>
    </row>
    <row r="21" spans="1:5" ht="18" x14ac:dyDescent="0.25">
      <c r="A21" t="s">
        <v>22</v>
      </c>
      <c r="B21">
        <v>1</v>
      </c>
      <c r="C21">
        <v>30.973700000000001</v>
      </c>
      <c r="D21">
        <f>D3</f>
        <v>0.4</v>
      </c>
      <c r="E21" s="2">
        <f t="shared" si="1"/>
        <v>12.389480000000001</v>
      </c>
    </row>
    <row r="22" spans="1:5" ht="18" x14ac:dyDescent="0.25">
      <c r="A22" t="s">
        <v>23</v>
      </c>
      <c r="B22">
        <v>2</v>
      </c>
      <c r="C22">
        <v>39.094299999999997</v>
      </c>
      <c r="D22">
        <f>D4</f>
        <v>0.6</v>
      </c>
      <c r="E22" s="2">
        <f t="shared" si="1"/>
        <v>46.913159999999991</v>
      </c>
    </row>
    <row r="23" spans="1:5" ht="18" x14ac:dyDescent="0.25">
      <c r="A23" t="s">
        <v>24</v>
      </c>
      <c r="B23">
        <v>2</v>
      </c>
      <c r="C23">
        <v>14.006</v>
      </c>
      <c r="D23">
        <f>D4</f>
        <v>0.6</v>
      </c>
      <c r="E23" s="2">
        <f t="shared" si="1"/>
        <v>16.807199999999998</v>
      </c>
    </row>
    <row r="24" spans="1:5" ht="18" x14ac:dyDescent="0.25">
      <c r="A24" t="s">
        <v>25</v>
      </c>
      <c r="B24">
        <v>2</v>
      </c>
      <c r="C24">
        <v>40.078000000000003</v>
      </c>
      <c r="D24">
        <f>D5</f>
        <v>0.55000000000000004</v>
      </c>
      <c r="E24" s="2">
        <f t="shared" si="1"/>
        <v>44.085800000000006</v>
      </c>
    </row>
    <row r="25" spans="1:5" ht="18" x14ac:dyDescent="0.25">
      <c r="A25" t="s">
        <v>26</v>
      </c>
      <c r="B25">
        <v>2</v>
      </c>
      <c r="C25">
        <v>28.012</v>
      </c>
      <c r="D25">
        <f>D5</f>
        <v>0.55000000000000004</v>
      </c>
      <c r="E25" s="2">
        <f t="shared" si="1"/>
        <v>30.813200000000002</v>
      </c>
    </row>
    <row r="26" spans="1:5" ht="18" x14ac:dyDescent="0.25">
      <c r="A26" t="s">
        <v>27</v>
      </c>
      <c r="B26">
        <v>1</v>
      </c>
      <c r="C26">
        <v>28.012</v>
      </c>
      <c r="D26">
        <f>D6</f>
        <v>0.6</v>
      </c>
      <c r="E26" s="2">
        <f t="shared" si="1"/>
        <v>16.807199999999998</v>
      </c>
    </row>
    <row r="27" spans="1:5" ht="18" x14ac:dyDescent="0.25">
      <c r="A27" t="s">
        <v>28</v>
      </c>
      <c r="B27">
        <v>1</v>
      </c>
      <c r="C27">
        <v>39.094299999999997</v>
      </c>
      <c r="D27">
        <f>D10</f>
        <v>1.6</v>
      </c>
      <c r="E27" s="2">
        <f t="shared" si="1"/>
        <v>62.550879999999992</v>
      </c>
    </row>
    <row r="28" spans="1:5" ht="18" x14ac:dyDescent="0.25">
      <c r="A28" t="s">
        <v>29</v>
      </c>
      <c r="B28">
        <v>1</v>
      </c>
      <c r="C28">
        <v>30.973700000000001</v>
      </c>
      <c r="D28">
        <f>D10</f>
        <v>1.6</v>
      </c>
      <c r="E28" s="2">
        <f t="shared" si="1"/>
        <v>49.557920000000003</v>
      </c>
    </row>
    <row r="29" spans="1:5" x14ac:dyDescent="0.2">
      <c r="A29" t="s">
        <v>30</v>
      </c>
      <c r="B29">
        <v>1</v>
      </c>
      <c r="C29">
        <v>39.094299999999997</v>
      </c>
      <c r="D29">
        <f>D11</f>
        <v>1.2</v>
      </c>
      <c r="E29" s="2">
        <f t="shared" si="1"/>
        <v>46.913159999999991</v>
      </c>
    </row>
    <row r="30" spans="1:5" x14ac:dyDescent="0.2">
      <c r="A30" t="s">
        <v>31</v>
      </c>
      <c r="B30">
        <v>1</v>
      </c>
      <c r="C30">
        <v>35.453000000000003</v>
      </c>
      <c r="D30">
        <f>D11</f>
        <v>1.2</v>
      </c>
      <c r="E30" s="2">
        <f t="shared" si="1"/>
        <v>42.543599999999998</v>
      </c>
    </row>
    <row r="31" spans="1:5" ht="18" x14ac:dyDescent="0.25">
      <c r="A31" t="s">
        <v>32</v>
      </c>
      <c r="B31">
        <v>1</v>
      </c>
      <c r="C31">
        <v>40.078000000000003</v>
      </c>
      <c r="D31">
        <f>D12</f>
        <v>0.2</v>
      </c>
      <c r="E31" s="2">
        <f t="shared" si="1"/>
        <v>8.0155999999999992</v>
      </c>
    </row>
    <row r="32" spans="1:5" x14ac:dyDescent="0.2">
      <c r="A32" t="s">
        <v>43</v>
      </c>
      <c r="B32">
        <v>1</v>
      </c>
      <c r="C32">
        <v>40.078000000000003</v>
      </c>
      <c r="D32">
        <f>D13</f>
        <v>2.7</v>
      </c>
      <c r="E32" s="2">
        <f t="shared" ref="E32:E34" si="2">IFERROR((C32*1000)/(1000/(B32*D32)), 0)</f>
        <v>108.21060000000001</v>
      </c>
    </row>
    <row r="33" spans="1:5" x14ac:dyDescent="0.2">
      <c r="A33" t="s">
        <v>44</v>
      </c>
      <c r="B33">
        <v>1</v>
      </c>
      <c r="C33">
        <f>C30*2</f>
        <v>70.906000000000006</v>
      </c>
      <c r="D33">
        <f>D13</f>
        <v>2.7</v>
      </c>
      <c r="E33" s="2">
        <f t="shared" si="2"/>
        <v>191.44620000000003</v>
      </c>
    </row>
    <row r="34" spans="1:5" ht="18" x14ac:dyDescent="0.25">
      <c r="A34" t="s">
        <v>33</v>
      </c>
      <c r="B34">
        <v>2</v>
      </c>
      <c r="C34">
        <v>24.305</v>
      </c>
      <c r="D34">
        <f>D14</f>
        <v>1</v>
      </c>
      <c r="E34" s="2">
        <f t="shared" si="2"/>
        <v>48.61</v>
      </c>
    </row>
    <row r="35" spans="1:5" ht="18" x14ac:dyDescent="0.25">
      <c r="A35" t="s">
        <v>40</v>
      </c>
      <c r="B35">
        <v>2</v>
      </c>
      <c r="C35">
        <v>32.064999999999998</v>
      </c>
      <c r="D35">
        <f>D14</f>
        <v>1</v>
      </c>
      <c r="E35" s="2">
        <f>IFERROR((C35*1000)/(1000/(B35*D35)), 0)</f>
        <v>64.13</v>
      </c>
    </row>
    <row r="37" spans="1:5" x14ac:dyDescent="0.2">
      <c r="A37" s="1" t="s">
        <v>42</v>
      </c>
    </row>
    <row r="38" spans="1:5" x14ac:dyDescent="0.2">
      <c r="A38" t="s">
        <v>41</v>
      </c>
      <c r="B38" t="s">
        <v>17</v>
      </c>
      <c r="C38" t="s">
        <v>58</v>
      </c>
      <c r="D38" t="s">
        <v>46</v>
      </c>
    </row>
    <row r="39" spans="1:5" x14ac:dyDescent="0.2">
      <c r="A39" t="s">
        <v>34</v>
      </c>
      <c r="B39" s="2">
        <f>SUM(E20,E23,E25,E26)</f>
        <v>70.03</v>
      </c>
      <c r="C39" s="2">
        <v>70</v>
      </c>
      <c r="D39" s="2">
        <f t="shared" ref="D39:D44" si="3">C39-B39</f>
        <v>-3.0000000000001137E-2</v>
      </c>
    </row>
    <row r="40" spans="1:5" x14ac:dyDescent="0.2">
      <c r="A40" t="s">
        <v>35</v>
      </c>
      <c r="B40" s="2">
        <f>SUM(E21,E28)</f>
        <v>61.947400000000002</v>
      </c>
      <c r="C40" s="2">
        <v>62</v>
      </c>
      <c r="D40" s="2">
        <f t="shared" si="3"/>
        <v>5.2599999999998204E-2</v>
      </c>
    </row>
    <row r="41" spans="1:5" x14ac:dyDescent="0.2">
      <c r="A41" t="s">
        <v>36</v>
      </c>
      <c r="B41" s="2">
        <f>SUM(E22,E27,E29)</f>
        <v>156.37719999999996</v>
      </c>
      <c r="C41">
        <v>156.4</v>
      </c>
      <c r="D41" s="2">
        <f t="shared" si="3"/>
        <v>2.2800000000046339E-2</v>
      </c>
    </row>
    <row r="42" spans="1:5" x14ac:dyDescent="0.2">
      <c r="A42" t="s">
        <v>37</v>
      </c>
      <c r="B42" s="2">
        <f>E31+E24+E32</f>
        <v>160.31200000000001</v>
      </c>
      <c r="C42">
        <v>160.30000000000001</v>
      </c>
      <c r="D42" s="2">
        <f t="shared" si="3"/>
        <v>-1.2000000000000455E-2</v>
      </c>
    </row>
    <row r="43" spans="1:5" x14ac:dyDescent="0.2">
      <c r="A43" t="s">
        <v>38</v>
      </c>
      <c r="B43" s="2">
        <f>E34</f>
        <v>48.61</v>
      </c>
      <c r="C43">
        <v>48.6</v>
      </c>
      <c r="D43" s="2">
        <f t="shared" si="3"/>
        <v>-9.9999999999980105E-3</v>
      </c>
    </row>
    <row r="44" spans="1:5" x14ac:dyDescent="0.2">
      <c r="A44" t="s">
        <v>39</v>
      </c>
      <c r="B44" s="2">
        <f>E35</f>
        <v>64.13</v>
      </c>
      <c r="C44">
        <v>64.099999999999994</v>
      </c>
      <c r="D44" s="2">
        <f t="shared" si="3"/>
        <v>-3.0000000000001137E-2</v>
      </c>
    </row>
    <row r="46" spans="1:5" x14ac:dyDescent="0.2">
      <c r="A46" s="3" t="s">
        <v>48</v>
      </c>
      <c r="B46" s="4">
        <v>6.1</v>
      </c>
    </row>
    <row r="48" spans="1:5" x14ac:dyDescent="0.2">
      <c r="A48" s="5" t="s">
        <v>49</v>
      </c>
    </row>
    <row r="49" spans="1:4" x14ac:dyDescent="0.2">
      <c r="A49" t="s">
        <v>20</v>
      </c>
      <c r="B49" t="s">
        <v>2</v>
      </c>
      <c r="C49" t="s">
        <v>50</v>
      </c>
      <c r="D49" t="s">
        <v>51</v>
      </c>
    </row>
    <row r="50" spans="1:4" x14ac:dyDescent="0.2">
      <c r="A50" t="s">
        <v>52</v>
      </c>
      <c r="B50">
        <v>1</v>
      </c>
      <c r="C50">
        <f>D3</f>
        <v>0.4</v>
      </c>
      <c r="D50">
        <f>B50*C50</f>
        <v>0.4</v>
      </c>
    </row>
    <row r="51" spans="1:4" x14ac:dyDescent="0.2">
      <c r="A51" t="s">
        <v>53</v>
      </c>
      <c r="B51">
        <v>2</v>
      </c>
      <c r="C51">
        <f>D4</f>
        <v>0.6</v>
      </c>
      <c r="D51">
        <f t="shared" ref="D51:D54" si="4">B51*C51</f>
        <v>1.2</v>
      </c>
    </row>
    <row r="52" spans="1:4" x14ac:dyDescent="0.2">
      <c r="A52" t="s">
        <v>54</v>
      </c>
      <c r="B52">
        <v>2</v>
      </c>
      <c r="C52">
        <f>D5</f>
        <v>0.55000000000000004</v>
      </c>
      <c r="D52">
        <f>B52*C52*2</f>
        <v>2.2000000000000002</v>
      </c>
    </row>
    <row r="53" spans="1:4" x14ac:dyDescent="0.2">
      <c r="A53" t="s">
        <v>55</v>
      </c>
      <c r="B53">
        <v>1</v>
      </c>
      <c r="C53">
        <f>D6</f>
        <v>0.6</v>
      </c>
      <c r="D53">
        <f t="shared" si="4"/>
        <v>0.6</v>
      </c>
    </row>
    <row r="54" spans="1:4" x14ac:dyDescent="0.2">
      <c r="A54" t="s">
        <v>56</v>
      </c>
      <c r="B54">
        <v>1</v>
      </c>
      <c r="C54">
        <f>D6</f>
        <v>0.6</v>
      </c>
      <c r="D54">
        <f t="shared" si="4"/>
        <v>0.6</v>
      </c>
    </row>
    <row r="56" spans="1:4" x14ac:dyDescent="0.2">
      <c r="A56" t="s">
        <v>57</v>
      </c>
      <c r="B56" s="7">
        <f>IFERROR((D50+D53)/(D51+D52+D54), 0)</f>
        <v>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70 ppm N, 0 ppm P</vt:lpstr>
      <vt:lpstr>70 ppm N, 7.5 ppm P</vt:lpstr>
      <vt:lpstr>70 ppm N, 15 ppm P</vt:lpstr>
      <vt:lpstr>70 ppm N, 31 ppm P</vt:lpstr>
      <vt:lpstr>70 ppm N, 46.5 ppm P</vt:lpstr>
      <vt:lpstr>70 ppm N, 62 ppm 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Perkowski, Evan A</dc:creator>
  <cp:lastModifiedBy>Perkowski, Evan A</cp:lastModifiedBy>
  <dcterms:created xsi:type="dcterms:W3CDTF">2026-05-25T18:00:36Z</dcterms:created>
  <dcterms:modified xsi:type="dcterms:W3CDTF">2026-05-27T21:53:30Z</dcterms:modified>
</cp:coreProperties>
</file>