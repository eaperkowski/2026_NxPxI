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hoagland_recipes/"/>
    </mc:Choice>
  </mc:AlternateContent>
  <xr:revisionPtr revIDLastSave="0" documentId="13_ncr:1_{E719067E-5725-BF41-BD5C-318A9C709660}" xr6:coauthVersionLast="47" xr6:coauthVersionMax="47" xr10:uidLastSave="{00000000-0000-0000-0000-000000000000}"/>
  <bookViews>
    <workbookView xWindow="1760" yWindow="600" windowWidth="30180" windowHeight="28200" activeTab="5" xr2:uid="{D8162C4C-0F91-B749-8466-88C5F33C3EA0}"/>
  </bookViews>
  <sheets>
    <sheet name="70 ppm N, 0 ppm P" sheetId="1" r:id="rId1"/>
    <sheet name="70 ppm N, 7.5 ppm P" sheetId="2" r:id="rId2"/>
    <sheet name="70 ppm N, 15 ppm P" sheetId="3" r:id="rId3"/>
    <sheet name="70 ppm N, 31 ppm P" sheetId="4" r:id="rId4"/>
    <sheet name="70 ppm N, 62 ppm P" sheetId="5" r:id="rId5"/>
    <sheet name="70 ppm N, 93 ppm P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6" l="1"/>
  <c r="E35" i="6" s="1"/>
  <c r="B44" i="6" s="1"/>
  <c r="D44" i="6" s="1"/>
  <c r="D34" i="6"/>
  <c r="E34" i="6" s="1"/>
  <c r="B43" i="6" s="1"/>
  <c r="D43" i="6" s="1"/>
  <c r="D33" i="6"/>
  <c r="E33" i="6" s="1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B39" i="6" s="1"/>
  <c r="E16" i="6"/>
  <c r="E15" i="6"/>
  <c r="E14" i="6"/>
  <c r="E13" i="6"/>
  <c r="E12" i="6"/>
  <c r="E11" i="6"/>
  <c r="E10" i="6"/>
  <c r="E6" i="6"/>
  <c r="E5" i="6"/>
  <c r="E4" i="6"/>
  <c r="E3" i="6"/>
  <c r="D35" i="5"/>
  <c r="E35" i="5" s="1"/>
  <c r="B44" i="5" s="1"/>
  <c r="D44" i="5" s="1"/>
  <c r="D34" i="5"/>
  <c r="E34" i="5" s="1"/>
  <c r="B43" i="5" s="1"/>
  <c r="D43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B39" i="5" s="1"/>
  <c r="E16" i="5"/>
  <c r="E15" i="5"/>
  <c r="E14" i="5"/>
  <c r="E13" i="5"/>
  <c r="E12" i="5"/>
  <c r="E11" i="5"/>
  <c r="E10" i="5"/>
  <c r="E6" i="5"/>
  <c r="E5" i="5"/>
  <c r="E4" i="5"/>
  <c r="E3" i="5"/>
  <c r="D35" i="4"/>
  <c r="E35" i="4" s="1"/>
  <c r="B44" i="4" s="1"/>
  <c r="D44" i="4" s="1"/>
  <c r="D34" i="4"/>
  <c r="E34" i="4" s="1"/>
  <c r="B43" i="4" s="1"/>
  <c r="D43" i="4" s="1"/>
  <c r="E33" i="4"/>
  <c r="D33" i="4"/>
  <c r="D32" i="4"/>
  <c r="E32" i="4" s="1"/>
  <c r="D31" i="4"/>
  <c r="E31" i="4" s="1"/>
  <c r="D30" i="4"/>
  <c r="E30" i="4" s="1"/>
  <c r="D29" i="4"/>
  <c r="E29" i="4" s="1"/>
  <c r="E28" i="4"/>
  <c r="D28" i="4"/>
  <c r="D27" i="4"/>
  <c r="E27" i="4" s="1"/>
  <c r="D26" i="4"/>
  <c r="E26" i="4" s="1"/>
  <c r="D25" i="4"/>
  <c r="E25" i="4" s="1"/>
  <c r="D24" i="4"/>
  <c r="E24" i="4" s="1"/>
  <c r="E23" i="4"/>
  <c r="D23" i="4"/>
  <c r="D22" i="4"/>
  <c r="E22" i="4" s="1"/>
  <c r="D21" i="4"/>
  <c r="E21" i="4" s="1"/>
  <c r="D20" i="4"/>
  <c r="E20" i="4" s="1"/>
  <c r="E16" i="4"/>
  <c r="E15" i="4"/>
  <c r="E14" i="4"/>
  <c r="E13" i="4"/>
  <c r="E12" i="4"/>
  <c r="E11" i="4"/>
  <c r="E10" i="4"/>
  <c r="E6" i="4"/>
  <c r="E5" i="4"/>
  <c r="E4" i="4"/>
  <c r="E3" i="4"/>
  <c r="D35" i="3"/>
  <c r="E35" i="3" s="1"/>
  <c r="B44" i="3" s="1"/>
  <c r="D44" i="3" s="1"/>
  <c r="D34" i="3"/>
  <c r="E34" i="3" s="1"/>
  <c r="B43" i="3" s="1"/>
  <c r="D43" i="3" s="1"/>
  <c r="D33" i="3"/>
  <c r="E33" i="3" s="1"/>
  <c r="D32" i="3"/>
  <c r="E32" i="3" s="1"/>
  <c r="D31" i="3"/>
  <c r="E31" i="3" s="1"/>
  <c r="B42" i="3" s="1"/>
  <c r="D42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E16" i="3"/>
  <c r="E15" i="3"/>
  <c r="E14" i="3"/>
  <c r="E13" i="3"/>
  <c r="E12" i="3"/>
  <c r="E11" i="3"/>
  <c r="E10" i="3"/>
  <c r="E6" i="3"/>
  <c r="E5" i="3"/>
  <c r="E4" i="3"/>
  <c r="E3" i="3"/>
  <c r="E24" i="2"/>
  <c r="E5" i="2"/>
  <c r="D26" i="2"/>
  <c r="D23" i="2"/>
  <c r="D22" i="2"/>
  <c r="D21" i="2"/>
  <c r="D20" i="2"/>
  <c r="B39" i="2"/>
  <c r="D23" i="1"/>
  <c r="E23" i="2"/>
  <c r="D35" i="2"/>
  <c r="E35" i="2" s="1"/>
  <c r="B44" i="2" s="1"/>
  <c r="D44" i="2" s="1"/>
  <c r="D34" i="2"/>
  <c r="E34" i="2" s="1"/>
  <c r="B43" i="2" s="1"/>
  <c r="D43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E26" i="2"/>
  <c r="D25" i="2"/>
  <c r="E25" i="2" s="1"/>
  <c r="D24" i="2"/>
  <c r="E22" i="2"/>
  <c r="E21" i="2"/>
  <c r="E20" i="2"/>
  <c r="E16" i="2"/>
  <c r="E15" i="2"/>
  <c r="E14" i="2"/>
  <c r="E13" i="2"/>
  <c r="E12" i="2"/>
  <c r="E11" i="2"/>
  <c r="E10" i="2"/>
  <c r="E6" i="2"/>
  <c r="E4" i="2"/>
  <c r="E3" i="2"/>
  <c r="D35" i="1"/>
  <c r="E35" i="1" s="1"/>
  <c r="B44" i="1" s="1"/>
  <c r="D44" i="1" s="1"/>
  <c r="D34" i="1"/>
  <c r="D33" i="1"/>
  <c r="E33" i="1" s="1"/>
  <c r="D32" i="1"/>
  <c r="E32" i="1" s="1"/>
  <c r="D31" i="1"/>
  <c r="E31" i="1" s="1"/>
  <c r="D30" i="1"/>
  <c r="D29" i="1"/>
  <c r="E29" i="1" s="1"/>
  <c r="D28" i="1"/>
  <c r="D27" i="1"/>
  <c r="E27" i="1" s="1"/>
  <c r="D26" i="1"/>
  <c r="E26" i="1" s="1"/>
  <c r="D25" i="1"/>
  <c r="E25" i="1" s="1"/>
  <c r="D24" i="1"/>
  <c r="E24" i="1" s="1"/>
  <c r="E23" i="1"/>
  <c r="D22" i="1"/>
  <c r="E22" i="1" s="1"/>
  <c r="D21" i="1"/>
  <c r="E21" i="1" s="1"/>
  <c r="D20" i="1"/>
  <c r="E20" i="1" s="1"/>
  <c r="E30" i="1"/>
  <c r="E28" i="1"/>
  <c r="B42" i="6" l="1"/>
  <c r="D42" i="6" s="1"/>
  <c r="B40" i="6"/>
  <c r="B41" i="6"/>
  <c r="D41" i="6" s="1"/>
  <c r="B42" i="5"/>
  <c r="D42" i="5" s="1"/>
  <c r="B41" i="5"/>
  <c r="D41" i="5" s="1"/>
  <c r="B40" i="5"/>
  <c r="B42" i="4"/>
  <c r="D42" i="4" s="1"/>
  <c r="B40" i="4"/>
  <c r="B39" i="4"/>
  <c r="B41" i="4"/>
  <c r="D41" i="4" s="1"/>
  <c r="B40" i="3"/>
  <c r="B39" i="3"/>
  <c r="B41" i="3"/>
  <c r="D41" i="3" s="1"/>
  <c r="B42" i="2"/>
  <c r="D42" i="2" s="1"/>
  <c r="B40" i="2"/>
  <c r="B41" i="2"/>
  <c r="D41" i="2" s="1"/>
  <c r="B39" i="1"/>
  <c r="B41" i="1"/>
  <c r="D41" i="1" s="1"/>
  <c r="B42" i="1"/>
  <c r="D42" i="1" s="1"/>
  <c r="E34" i="1" l="1"/>
  <c r="B43" i="1" s="1"/>
  <c r="D43" i="1" s="1"/>
  <c r="E4" i="1"/>
  <c r="E5" i="1"/>
  <c r="E6" i="1"/>
  <c r="E10" i="1"/>
  <c r="E11" i="1"/>
  <c r="E12" i="1"/>
  <c r="E13" i="1"/>
  <c r="E14" i="1"/>
  <c r="E15" i="1"/>
  <c r="E16" i="1"/>
  <c r="E3" i="1"/>
  <c r="B40" i="1" l="1"/>
</calcChain>
</file>

<file path=xl/sharedStrings.xml><?xml version="1.0" encoding="utf-8"?>
<sst xmlns="http://schemas.openxmlformats.org/spreadsheetml/2006/main" count="378" uniqueCount="49">
  <si>
    <t>Primary N addition compounds</t>
  </si>
  <si>
    <t>compound</t>
  </si>
  <si>
    <t>M</t>
  </si>
  <si>
    <t>mg/mol</t>
  </si>
  <si>
    <t>ml per L</t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</si>
  <si>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</si>
  <si>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KNO</t>
    </r>
    <r>
      <rPr>
        <vertAlign val="subscript"/>
        <sz val="12"/>
        <color theme="1"/>
        <rFont val="Calibri (Body)"/>
      </rPr>
      <t>3</t>
    </r>
  </si>
  <si>
    <r>
      <t>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</si>
  <si>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</si>
  <si>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t>Supplemental macros &amp; micros</t>
  </si>
  <si>
    <r>
      <t>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</si>
  <si>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KCl</t>
  </si>
  <si>
    <r>
      <t>CaCO</t>
    </r>
    <r>
      <rPr>
        <vertAlign val="subscript"/>
        <sz val="12"/>
        <color theme="1"/>
        <rFont val="Calibri (Body)"/>
      </rPr>
      <t>3</t>
    </r>
  </si>
  <si>
    <r>
      <t>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</si>
  <si>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10% Fe-EDTA</t>
  </si>
  <si>
    <t>Trace elements</t>
  </si>
  <si>
    <r>
      <t>CaCl</t>
    </r>
    <r>
      <rPr>
        <vertAlign val="subscript"/>
        <sz val="12"/>
        <color theme="1"/>
        <rFont val="Aptos Narrow (Body)"/>
      </rPr>
      <t>2</t>
    </r>
  </si>
  <si>
    <t>ppm</t>
  </si>
  <si>
    <t>NA</t>
  </si>
  <si>
    <t>Individual NPK ppm</t>
  </si>
  <si>
    <t>element</t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</si>
  <si>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</si>
  <si>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</si>
  <si>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 from KNO</t>
    </r>
    <r>
      <rPr>
        <vertAlign val="subscript"/>
        <sz val="12"/>
        <color theme="1"/>
        <rFont val="Calibri (Body)"/>
      </rPr>
      <t>3</t>
    </r>
  </si>
  <si>
    <r>
      <t>N from KNO</t>
    </r>
    <r>
      <rPr>
        <vertAlign val="subscript"/>
        <sz val="12"/>
        <color theme="1"/>
        <rFont val="Calibri (Body)"/>
      </rPr>
      <t>3</t>
    </r>
  </si>
  <si>
    <r>
      <t>Ca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</si>
  <si>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</si>
  <si>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</si>
  <si>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r>
      <t>K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</si>
  <si>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</si>
  <si>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 from KCl</t>
  </si>
  <si>
    <t>Cl from KCl</t>
  </si>
  <si>
    <r>
      <t>Ca from CaCO</t>
    </r>
    <r>
      <rPr>
        <vertAlign val="subscript"/>
        <sz val="12"/>
        <color theme="1"/>
        <rFont val="Calibri (Body)"/>
      </rPr>
      <t>3</t>
    </r>
  </si>
  <si>
    <r>
      <t>Mg from MgSO</t>
    </r>
    <r>
      <rPr>
        <vertAlign val="subscript"/>
        <sz val="12"/>
        <color theme="1"/>
        <rFont val="Calibri (Body)"/>
      </rPr>
      <t>4</t>
    </r>
  </si>
  <si>
    <t>N</t>
  </si>
  <si>
    <t>P</t>
  </si>
  <si>
    <t>K</t>
  </si>
  <si>
    <t>Ca</t>
  </si>
  <si>
    <t>Mg</t>
  </si>
  <si>
    <t>S</t>
  </si>
  <si>
    <r>
      <t>S from MgSO</t>
    </r>
    <r>
      <rPr>
        <vertAlign val="subscript"/>
        <sz val="12"/>
        <color theme="1"/>
        <rFont val="Calibri (Body)"/>
      </rPr>
      <t>4</t>
    </r>
  </si>
  <si>
    <t>macro</t>
  </si>
  <si>
    <t>Total macronutrient ppm</t>
  </si>
  <si>
    <t>Ca from CaCl2</t>
  </si>
  <si>
    <t>Cl from CaCl2</t>
  </si>
  <si>
    <t>standard_ppm</t>
  </si>
  <si>
    <t>delta</t>
  </si>
  <si>
    <t>Projected pH:</t>
  </si>
  <si>
    <t>Projected pH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</si>
</sst>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Calibri (Body)"/>
    </font>
    <font>
      <vertAlign val="subscript"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FAAB-8098-D94B-8628-DB10C053BFE5}">
  <dimension ref="A1:E46"/>
  <sheetViews>
    <sheetView topLeftCell="A31" zoomScale="339" zoomScaleNormal="230" workbookViewId="0">
      <selection activeCell="A46" sqref="A46"/>
    </sheetView>
  </sheetViews>
  <sheetFormatPr baseColWidth="10" defaultRowHeight="16" x14ac:dyDescent="0.2"/>
  <cols>
    <col min="1" max="1" width="19.6640625" customWidth="1"/>
    <col min="2" max="2" width="5.6640625" bestFit="1" customWidth="1"/>
    <col min="3" max="3" width="12.66406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 t="shared" si="0"/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0</v>
      </c>
      <c r="E10" s="2">
        <f t="shared" si="0"/>
        <v>0</v>
      </c>
    </row>
    <row r="11" spans="1:5" x14ac:dyDescent="0.2">
      <c r="A11" t="s">
        <v>11</v>
      </c>
      <c r="B11">
        <v>1</v>
      </c>
      <c r="C11">
        <v>74.555000000000007</v>
      </c>
      <c r="D11">
        <v>2.8</v>
      </c>
      <c r="E11" s="2">
        <f t="shared" si="0"/>
        <v>208.75399999999999</v>
      </c>
    </row>
    <row r="12" spans="1:5" ht="18" x14ac:dyDescent="0.25">
      <c r="A12" t="s">
        <v>12</v>
      </c>
      <c r="B12">
        <v>1</v>
      </c>
      <c r="C12">
        <v>100.087</v>
      </c>
      <c r="D12">
        <v>0</v>
      </c>
      <c r="E12" s="2">
        <f t="shared" si="0"/>
        <v>0</v>
      </c>
    </row>
    <row r="13" spans="1:5" ht="18" x14ac:dyDescent="0.25">
      <c r="A13" t="s">
        <v>16</v>
      </c>
      <c r="B13">
        <v>1</v>
      </c>
      <c r="C13">
        <v>110.98</v>
      </c>
      <c r="D13">
        <v>2.8</v>
      </c>
      <c r="E13" s="2">
        <f t="shared" si="0"/>
        <v>310.74399999999997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</v>
      </c>
      <c r="E27" s="2">
        <f>IFERROR((C27*1000)/(1000/(B27*D27)), 0)</f>
        <v>0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</v>
      </c>
      <c r="E28" s="2">
        <f>IFERROR((C28*1000)/(1000/(B28*D28)), 0)</f>
        <v>0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2.8</v>
      </c>
      <c r="E29" s="2">
        <f>IFERROR((C29*1000)/(1000/(B29*D29)), 0)</f>
        <v>109.46403999999998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2.8</v>
      </c>
      <c r="E30" s="2">
        <f>IFERROR((C30*1000)/(1000/(B30*D30)), 0)</f>
        <v>99.2684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</v>
      </c>
      <c r="E31" s="2">
        <f>IFERROR((C31*1000)/(1000/(B31*D31)), 0)</f>
        <v>0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2.8</v>
      </c>
      <c r="E32" s="2">
        <f t="shared" ref="E32:E33" si="1">IFERROR((C32*1000)/(1000/(B32*D32)), 0)</f>
        <v>112.21839999999999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2.8</v>
      </c>
      <c r="E33" s="2">
        <f t="shared" si="1"/>
        <v>99.2684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ref="E34" si="2">IFERROR((C34*1000)/(1000/(B34*D34)), 0)</f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0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156.37719999999996</v>
      </c>
      <c r="C41">
        <v>156.4</v>
      </c>
      <c r="D41" s="2">
        <f t="shared" ref="D41:D44" si="3">C41-B41</f>
        <v>2.2800000000046339E-2</v>
      </c>
    </row>
    <row r="42" spans="1:5" x14ac:dyDescent="0.2">
      <c r="A42" t="s">
        <v>37</v>
      </c>
      <c r="B42" s="2">
        <f>E31+E24+E32</f>
        <v>156.30419999999998</v>
      </c>
      <c r="C42">
        <v>160.30000000000001</v>
      </c>
      <c r="D42" s="2">
        <f t="shared" si="3"/>
        <v>3.9958000000000311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3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3"/>
        <v>-3.0000000000001137E-2</v>
      </c>
    </row>
    <row r="46" spans="1:5" x14ac:dyDescent="0.2">
      <c r="A46" s="3" t="s">
        <v>47</v>
      </c>
      <c r="B46" s="3">
        <v>6.15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FEC2-0431-2C4C-BD04-E469597BD0C8}">
  <dimension ref="A1:E46"/>
  <sheetViews>
    <sheetView topLeftCell="A36" zoomScale="260" zoomScaleNormal="260" workbookViewId="0">
      <selection activeCell="E46" sqref="A1:E46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>IFERROR((C5*1000)/(1000/(B5*D5)), 0)</f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0.25</v>
      </c>
      <c r="E10" s="2">
        <f t="shared" si="0"/>
        <v>34.021500000000003</v>
      </c>
    </row>
    <row r="11" spans="1:5" x14ac:dyDescent="0.2">
      <c r="A11" t="s">
        <v>11</v>
      </c>
      <c r="B11">
        <v>1</v>
      </c>
      <c r="C11">
        <v>74.555000000000007</v>
      </c>
      <c r="D11">
        <v>2.5499999999999998</v>
      </c>
      <c r="E11" s="2">
        <f t="shared" si="0"/>
        <v>190.11524999999997</v>
      </c>
    </row>
    <row r="12" spans="1:5" ht="18" x14ac:dyDescent="0.25">
      <c r="A12" t="s">
        <v>12</v>
      </c>
      <c r="B12">
        <v>1</v>
      </c>
      <c r="C12">
        <v>100.087</v>
      </c>
      <c r="D12">
        <v>0</v>
      </c>
      <c r="E12" s="2">
        <f t="shared" si="0"/>
        <v>0</v>
      </c>
    </row>
    <row r="13" spans="1:5" ht="18" x14ac:dyDescent="0.25">
      <c r="A13" t="s">
        <v>16</v>
      </c>
      <c r="B13">
        <v>1</v>
      </c>
      <c r="C13">
        <v>110.98</v>
      </c>
      <c r="D13">
        <v>2.9</v>
      </c>
      <c r="E13" s="2">
        <f t="shared" si="0"/>
        <v>321.84199999999998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0.25</v>
      </c>
      <c r="E27" s="2">
        <f>IFERROR((C27*1000)/(1000/(B27*D27)), 0)</f>
        <v>9.7735749999999992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0.25</v>
      </c>
      <c r="E28" s="2">
        <f>IFERROR((C28*1000)/(1000/(B28*D28)), 0)</f>
        <v>7.7434250000000002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2.5499999999999998</v>
      </c>
      <c r="E29" s="2">
        <f>IFERROR((C29*1000)/(1000/(B29*D29)), 0)</f>
        <v>99.690464999999975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2.5499999999999998</v>
      </c>
      <c r="E30" s="2">
        <f>IFERROR((C30*1000)/(1000/(B30*D30)), 0)</f>
        <v>90.405149999999992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</v>
      </c>
      <c r="E31" s="2">
        <f>IFERROR((C31*1000)/(1000/(B31*D31)), 0)</f>
        <v>0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2.9</v>
      </c>
      <c r="E32" s="2">
        <f t="shared" ref="E32:E34" si="1">IFERROR((C32*1000)/(1000/(B32*D32)), 0)</f>
        <v>116.22619999999999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2.9</v>
      </c>
      <c r="E33" s="2">
        <f t="shared" si="1"/>
        <v>102.8137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7.7434250000000002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156.37719999999996</v>
      </c>
      <c r="C41">
        <v>156.4</v>
      </c>
      <c r="D41" s="2">
        <f t="shared" ref="D41:D44" si="2">C41-B41</f>
        <v>2.2800000000046339E-2</v>
      </c>
    </row>
    <row r="42" spans="1:5" x14ac:dyDescent="0.2">
      <c r="A42" t="s">
        <v>37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48</v>
      </c>
      <c r="B46" s="3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501D-9163-9545-8859-8445093C95AF}">
  <dimension ref="A1:E46"/>
  <sheetViews>
    <sheetView topLeftCell="A30" zoomScale="208" workbookViewId="0">
      <selection activeCell="E46" sqref="A1:E46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>IFERROR((C5*1000)/(1000/(B5*D5)), 0)</f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0.5</v>
      </c>
      <c r="E10" s="2">
        <f t="shared" si="0"/>
        <v>68.043000000000006</v>
      </c>
    </row>
    <row r="11" spans="1:5" x14ac:dyDescent="0.2">
      <c r="A11" t="s">
        <v>11</v>
      </c>
      <c r="B11">
        <v>1</v>
      </c>
      <c r="C11">
        <v>74.555000000000007</v>
      </c>
      <c r="D11">
        <v>2.2999999999999998</v>
      </c>
      <c r="E11" s="2">
        <f t="shared" si="0"/>
        <v>171.47649999999999</v>
      </c>
    </row>
    <row r="12" spans="1:5" ht="18" x14ac:dyDescent="0.25">
      <c r="A12" t="s">
        <v>12</v>
      </c>
      <c r="B12">
        <v>1</v>
      </c>
      <c r="C12">
        <v>100.087</v>
      </c>
      <c r="D12">
        <v>0</v>
      </c>
      <c r="E12" s="2">
        <f t="shared" si="0"/>
        <v>0</v>
      </c>
    </row>
    <row r="13" spans="1:5" ht="18" x14ac:dyDescent="0.25">
      <c r="A13" t="s">
        <v>16</v>
      </c>
      <c r="B13">
        <v>1</v>
      </c>
      <c r="C13">
        <v>110.98</v>
      </c>
      <c r="D13">
        <v>2.9</v>
      </c>
      <c r="E13" s="2">
        <f t="shared" si="0"/>
        <v>321.84199999999998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0.5</v>
      </c>
      <c r="E27" s="2">
        <f>IFERROR((C27*1000)/(1000/(B27*D27)), 0)</f>
        <v>19.547149999999998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0.5</v>
      </c>
      <c r="E28" s="2">
        <f>IFERROR((C28*1000)/(1000/(B28*D28)), 0)</f>
        <v>15.48685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2.2999999999999998</v>
      </c>
      <c r="E29" s="2">
        <f>IFERROR((C29*1000)/(1000/(B29*D29)), 0)</f>
        <v>89.916889999999981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2.2999999999999998</v>
      </c>
      <c r="E30" s="2">
        <f>IFERROR((C30*1000)/(1000/(B30*D30)), 0)</f>
        <v>81.541899999999998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</v>
      </c>
      <c r="E31" s="2">
        <f>IFERROR((C31*1000)/(1000/(B31*D31)), 0)</f>
        <v>0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2.9</v>
      </c>
      <c r="E32" s="2">
        <f t="shared" ref="E32:E34" si="1">IFERROR((C32*1000)/(1000/(B32*D32)), 0)</f>
        <v>116.22619999999999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2.9</v>
      </c>
      <c r="E33" s="2">
        <f t="shared" si="1"/>
        <v>102.8137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15.48685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156.37719999999996</v>
      </c>
      <c r="C41">
        <v>156.4</v>
      </c>
      <c r="D41" s="2">
        <f t="shared" ref="D41:D44" si="2">C41-B41</f>
        <v>2.2800000000046339E-2</v>
      </c>
    </row>
    <row r="42" spans="1:5" x14ac:dyDescent="0.2">
      <c r="A42" t="s">
        <v>37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48</v>
      </c>
      <c r="B46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9A06-016E-834C-9EF8-D374308C42E0}">
  <dimension ref="A1:E46"/>
  <sheetViews>
    <sheetView topLeftCell="A32" zoomScale="242" workbookViewId="0">
      <selection activeCell="E46" sqref="A1:E46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>IFERROR((C5*1000)/(1000/(B5*D5)), 0)</f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1</v>
      </c>
      <c r="E10" s="2">
        <f t="shared" si="0"/>
        <v>136.08600000000001</v>
      </c>
    </row>
    <row r="11" spans="1:5" x14ac:dyDescent="0.2">
      <c r="A11" t="s">
        <v>11</v>
      </c>
      <c r="B11">
        <v>1</v>
      </c>
      <c r="C11">
        <v>74.555000000000007</v>
      </c>
      <c r="D11">
        <v>1.8</v>
      </c>
      <c r="E11" s="2">
        <f t="shared" si="0"/>
        <v>134.19900000000001</v>
      </c>
    </row>
    <row r="12" spans="1:5" ht="18" x14ac:dyDescent="0.25">
      <c r="A12" t="s">
        <v>12</v>
      </c>
      <c r="B12">
        <v>1</v>
      </c>
      <c r="C12">
        <v>100.087</v>
      </c>
      <c r="D12">
        <v>0.4</v>
      </c>
      <c r="E12" s="2">
        <f t="shared" si="0"/>
        <v>40.034799999999997</v>
      </c>
    </row>
    <row r="13" spans="1:5" ht="18" x14ac:dyDescent="0.25">
      <c r="A13" t="s">
        <v>16</v>
      </c>
      <c r="B13">
        <v>1</v>
      </c>
      <c r="C13">
        <v>110.98</v>
      </c>
      <c r="D13">
        <v>2.5</v>
      </c>
      <c r="E13" s="2">
        <f t="shared" si="0"/>
        <v>277.45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1</v>
      </c>
      <c r="E27" s="2">
        <f>IFERROR((C27*1000)/(1000/(B27*D27)), 0)</f>
        <v>39.094299999999997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1</v>
      </c>
      <c r="E28" s="2">
        <f>IFERROR((C28*1000)/(1000/(B28*D28)), 0)</f>
        <v>30.973700000000001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1.8</v>
      </c>
      <c r="E29" s="2">
        <f>IFERROR((C29*1000)/(1000/(B29*D29)), 0)</f>
        <v>70.369739999999993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1.8</v>
      </c>
      <c r="E30" s="2">
        <f>IFERROR((C30*1000)/(1000/(B30*D30)), 0)</f>
        <v>63.815400000000004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0.4</v>
      </c>
      <c r="E31" s="2">
        <f>IFERROR((C31*1000)/(1000/(B31*D31)), 0)</f>
        <v>16.031199999999998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2.5</v>
      </c>
      <c r="E32" s="2">
        <f t="shared" ref="E32:E34" si="1">IFERROR((C32*1000)/(1000/(B32*D32)), 0)</f>
        <v>100.19499999999999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2.5</v>
      </c>
      <c r="E33" s="2">
        <f t="shared" si="1"/>
        <v>88.632499999999993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30.973700000000001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156.37719999999996</v>
      </c>
      <c r="C41">
        <v>156.4</v>
      </c>
      <c r="D41" s="2">
        <f t="shared" ref="D41:D44" si="2">C41-B41</f>
        <v>2.2800000000046339E-2</v>
      </c>
    </row>
    <row r="42" spans="1:5" x14ac:dyDescent="0.2">
      <c r="A42" t="s">
        <v>37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48</v>
      </c>
      <c r="B46" s="4">
        <v>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FD18-DA23-7543-8823-72036396CBF7}">
  <dimension ref="A1:E46"/>
  <sheetViews>
    <sheetView topLeftCell="A30" zoomScale="214" workbookViewId="0">
      <selection activeCell="E46" sqref="A1:E46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>IFERROR((C5*1000)/(1000/(B5*D5)), 0)</f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2</v>
      </c>
      <c r="E10" s="2">
        <f t="shared" si="0"/>
        <v>272.17200000000003</v>
      </c>
    </row>
    <row r="11" spans="1:5" x14ac:dyDescent="0.2">
      <c r="A11" t="s">
        <v>11</v>
      </c>
      <c r="B11">
        <v>1</v>
      </c>
      <c r="C11">
        <v>74.555000000000007</v>
      </c>
      <c r="D11">
        <v>0.8</v>
      </c>
      <c r="E11" s="2">
        <f t="shared" si="0"/>
        <v>59.643999999999998</v>
      </c>
    </row>
    <row r="12" spans="1:5" ht="18" x14ac:dyDescent="0.25">
      <c r="A12" t="s">
        <v>12</v>
      </c>
      <c r="B12">
        <v>1</v>
      </c>
      <c r="C12">
        <v>100.087</v>
      </c>
      <c r="D12">
        <v>0.6</v>
      </c>
      <c r="E12" s="2">
        <f t="shared" si="0"/>
        <v>60.052199999999999</v>
      </c>
    </row>
    <row r="13" spans="1:5" ht="18" x14ac:dyDescent="0.25">
      <c r="A13" t="s">
        <v>16</v>
      </c>
      <c r="B13">
        <v>1</v>
      </c>
      <c r="C13">
        <v>110.98</v>
      </c>
      <c r="D13">
        <v>2.2999999999999998</v>
      </c>
      <c r="E13" s="2">
        <f t="shared" si="0"/>
        <v>255.25399999999999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2</v>
      </c>
      <c r="E27" s="2">
        <f>IFERROR((C27*1000)/(1000/(B27*D27)), 0)</f>
        <v>78.188599999999994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2</v>
      </c>
      <c r="E28" s="2">
        <f>IFERROR((C28*1000)/(1000/(B28*D28)), 0)</f>
        <v>61.947400000000002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0.8</v>
      </c>
      <c r="E29" s="2">
        <f>IFERROR((C29*1000)/(1000/(B29*D29)), 0)</f>
        <v>31.275439999999996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0.8</v>
      </c>
      <c r="E30" s="2">
        <f>IFERROR((C30*1000)/(1000/(B30*D30)), 0)</f>
        <v>28.362400000000001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0.6</v>
      </c>
      <c r="E31" s="2">
        <f>IFERROR((C31*1000)/(1000/(B31*D31)), 0)</f>
        <v>24.046799999999998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2.2999999999999998</v>
      </c>
      <c r="E32" s="2">
        <f t="shared" ref="E32:E34" si="1">IFERROR((C32*1000)/(1000/(B32*D32)), 0)</f>
        <v>92.179400000000001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2.2999999999999998</v>
      </c>
      <c r="E33" s="2">
        <f t="shared" si="1"/>
        <v>81.541899999999998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61.947400000000002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156.37719999999999</v>
      </c>
      <c r="C41">
        <v>156.4</v>
      </c>
      <c r="D41" s="2">
        <f t="shared" ref="D41:D44" si="2">C41-B41</f>
        <v>2.2800000000017917E-2</v>
      </c>
    </row>
    <row r="42" spans="1:5" x14ac:dyDescent="0.2">
      <c r="A42" t="s">
        <v>37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48</v>
      </c>
      <c r="B46" s="4">
        <v>6.1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7B44-52D0-4D44-AF95-1551EAF5830D}">
  <dimension ref="A1:E46"/>
  <sheetViews>
    <sheetView tabSelected="1" topLeftCell="A18" zoomScale="218" workbookViewId="0">
      <selection activeCell="E43" sqref="E43"/>
    </sheetView>
  </sheetViews>
  <sheetFormatPr baseColWidth="10" defaultRowHeight="16" x14ac:dyDescent="0.2"/>
  <cols>
    <col min="1" max="1" width="27.33203125" bestFit="1" customWidth="1"/>
  </cols>
  <sheetData>
    <row r="1" spans="1:5" x14ac:dyDescent="0.2">
      <c r="A1" s="1" t="s">
        <v>0</v>
      </c>
      <c r="B1" s="1"/>
    </row>
    <row r="2" spans="1:5" x14ac:dyDescent="0.2">
      <c r="A2" t="s">
        <v>1</v>
      </c>
      <c r="B2" t="s">
        <v>2</v>
      </c>
      <c r="C2" t="s">
        <v>3</v>
      </c>
      <c r="D2" t="s">
        <v>4</v>
      </c>
      <c r="E2" t="s">
        <v>17</v>
      </c>
    </row>
    <row r="3" spans="1:5" ht="18" x14ac:dyDescent="0.25">
      <c r="A3" t="s">
        <v>5</v>
      </c>
      <c r="B3">
        <v>1</v>
      </c>
      <c r="C3">
        <v>115.3</v>
      </c>
      <c r="D3">
        <v>0</v>
      </c>
      <c r="E3" s="2">
        <f>IFERROR((C3*1000)/(1000/(B3*D3)), 0)</f>
        <v>0</v>
      </c>
    </row>
    <row r="4" spans="1:5" ht="18" x14ac:dyDescent="0.25">
      <c r="A4" t="s">
        <v>6</v>
      </c>
      <c r="B4">
        <v>2</v>
      </c>
      <c r="C4">
        <v>101.1</v>
      </c>
      <c r="D4">
        <v>0.6</v>
      </c>
      <c r="E4" s="2">
        <f t="shared" ref="E4:E16" si="0">IFERROR((C4*1000)/(1000/(B4*D4)), 0)</f>
        <v>121.32</v>
      </c>
    </row>
    <row r="5" spans="1:5" ht="18" x14ac:dyDescent="0.25">
      <c r="A5" t="s">
        <v>7</v>
      </c>
      <c r="B5">
        <v>2</v>
      </c>
      <c r="C5">
        <v>164.08799999999999</v>
      </c>
      <c r="D5">
        <v>0.55000000000000004</v>
      </c>
      <c r="E5" s="2">
        <f>IFERROR((C5*1000)/(1000/(B5*D5)), 0)</f>
        <v>180.49680000000001</v>
      </c>
    </row>
    <row r="6" spans="1:5" ht="18" x14ac:dyDescent="0.25">
      <c r="A6" t="s">
        <v>8</v>
      </c>
      <c r="B6">
        <v>1</v>
      </c>
      <c r="C6">
        <v>80.043000000000006</v>
      </c>
      <c r="D6">
        <v>0.8</v>
      </c>
      <c r="E6" s="2">
        <f t="shared" si="0"/>
        <v>64.034400000000005</v>
      </c>
    </row>
    <row r="7" spans="1:5" x14ac:dyDescent="0.2">
      <c r="E7" s="2"/>
    </row>
    <row r="8" spans="1:5" x14ac:dyDescent="0.2">
      <c r="A8" s="1" t="s">
        <v>9</v>
      </c>
      <c r="E8" s="2"/>
    </row>
    <row r="9" spans="1:5" x14ac:dyDescent="0.2">
      <c r="A9" t="s">
        <v>1</v>
      </c>
      <c r="B9" t="s">
        <v>2</v>
      </c>
      <c r="C9" t="s">
        <v>3</v>
      </c>
      <c r="D9" t="s">
        <v>4</v>
      </c>
      <c r="E9" s="2" t="s">
        <v>17</v>
      </c>
    </row>
    <row r="10" spans="1:5" ht="18" x14ac:dyDescent="0.25">
      <c r="A10" t="s">
        <v>10</v>
      </c>
      <c r="B10">
        <v>1</v>
      </c>
      <c r="C10">
        <v>136.08600000000001</v>
      </c>
      <c r="D10">
        <v>3</v>
      </c>
      <c r="E10" s="2">
        <f t="shared" si="0"/>
        <v>408.25800000000004</v>
      </c>
    </row>
    <row r="11" spans="1:5" x14ac:dyDescent="0.2">
      <c r="A11" t="s">
        <v>11</v>
      </c>
      <c r="B11">
        <v>1</v>
      </c>
      <c r="C11">
        <v>74.555000000000007</v>
      </c>
      <c r="D11">
        <v>0</v>
      </c>
      <c r="E11" s="2">
        <f t="shared" si="0"/>
        <v>0</v>
      </c>
    </row>
    <row r="12" spans="1:5" ht="18" x14ac:dyDescent="0.25">
      <c r="A12" t="s">
        <v>12</v>
      </c>
      <c r="B12">
        <v>1</v>
      </c>
      <c r="C12">
        <v>100.087</v>
      </c>
      <c r="D12">
        <v>0.5</v>
      </c>
      <c r="E12" s="2">
        <f t="shared" si="0"/>
        <v>50.043500000000002</v>
      </c>
    </row>
    <row r="13" spans="1:5" ht="18" x14ac:dyDescent="0.25">
      <c r="A13" t="s">
        <v>16</v>
      </c>
      <c r="B13">
        <v>1</v>
      </c>
      <c r="C13">
        <v>110.98</v>
      </c>
      <c r="D13">
        <v>2.4</v>
      </c>
      <c r="E13" s="2">
        <f t="shared" si="0"/>
        <v>266.35199999999998</v>
      </c>
    </row>
    <row r="14" spans="1:5" ht="18" x14ac:dyDescent="0.25">
      <c r="A14" t="s">
        <v>13</v>
      </c>
      <c r="B14">
        <v>2</v>
      </c>
      <c r="C14">
        <v>246.48</v>
      </c>
      <c r="D14">
        <v>1</v>
      </c>
      <c r="E14" s="2">
        <f t="shared" si="0"/>
        <v>492.96</v>
      </c>
    </row>
    <row r="15" spans="1:5" x14ac:dyDescent="0.2">
      <c r="A15" t="s">
        <v>14</v>
      </c>
      <c r="B15">
        <v>1</v>
      </c>
      <c r="C15" t="s">
        <v>18</v>
      </c>
      <c r="D15">
        <v>1</v>
      </c>
      <c r="E15" s="2">
        <f t="shared" si="0"/>
        <v>0</v>
      </c>
    </row>
    <row r="16" spans="1:5" x14ac:dyDescent="0.2">
      <c r="A16" t="s">
        <v>15</v>
      </c>
      <c r="B16">
        <v>1</v>
      </c>
      <c r="C16" t="s">
        <v>18</v>
      </c>
      <c r="D16">
        <v>1</v>
      </c>
      <c r="E16" s="2">
        <f t="shared" si="0"/>
        <v>0</v>
      </c>
    </row>
    <row r="18" spans="1:5" x14ac:dyDescent="0.2">
      <c r="A18" s="1" t="s">
        <v>19</v>
      </c>
    </row>
    <row r="19" spans="1:5" x14ac:dyDescent="0.2">
      <c r="A19" t="s">
        <v>20</v>
      </c>
      <c r="B19" t="s">
        <v>2</v>
      </c>
      <c r="C19" t="s">
        <v>3</v>
      </c>
      <c r="D19" t="s">
        <v>4</v>
      </c>
      <c r="E19" t="s">
        <v>17</v>
      </c>
    </row>
    <row r="20" spans="1:5" ht="18" x14ac:dyDescent="0.25">
      <c r="A20" t="s">
        <v>21</v>
      </c>
      <c r="B20">
        <v>1</v>
      </c>
      <c r="C20">
        <v>14.006</v>
      </c>
      <c r="D20">
        <f>D3</f>
        <v>0</v>
      </c>
      <c r="E20" s="2">
        <f>IFERROR((C20*1000)/(1000/(B20*D20)), 0)</f>
        <v>0</v>
      </c>
    </row>
    <row r="21" spans="1:5" ht="18" x14ac:dyDescent="0.25">
      <c r="A21" t="s">
        <v>22</v>
      </c>
      <c r="B21">
        <v>1</v>
      </c>
      <c r="C21">
        <v>30.973700000000001</v>
      </c>
      <c r="D21">
        <f>D3</f>
        <v>0</v>
      </c>
      <c r="E21" s="2">
        <f>IFERROR((C21*1000)/(1000/(B21*D21)), 0)</f>
        <v>0</v>
      </c>
    </row>
    <row r="22" spans="1:5" ht="18" x14ac:dyDescent="0.25">
      <c r="A22" t="s">
        <v>23</v>
      </c>
      <c r="B22">
        <v>2</v>
      </c>
      <c r="C22">
        <v>39.094299999999997</v>
      </c>
      <c r="D22">
        <f>D4</f>
        <v>0.6</v>
      </c>
      <c r="E22" s="2">
        <f>IFERROR((C22*1000)/(1000/(B22*D22)), 0)</f>
        <v>46.913159999999991</v>
      </c>
    </row>
    <row r="23" spans="1:5" ht="18" x14ac:dyDescent="0.25">
      <c r="A23" t="s">
        <v>24</v>
      </c>
      <c r="B23">
        <v>2</v>
      </c>
      <c r="C23">
        <v>14.006</v>
      </c>
      <c r="D23">
        <f>D4</f>
        <v>0.6</v>
      </c>
      <c r="E23" s="2">
        <f>IFERROR((C23*1000)/(1000/(B23*D23)), 0)</f>
        <v>16.807199999999998</v>
      </c>
    </row>
    <row r="24" spans="1:5" ht="18" x14ac:dyDescent="0.25">
      <c r="A24" t="s">
        <v>25</v>
      </c>
      <c r="B24">
        <v>2</v>
      </c>
      <c r="C24">
        <v>40.078000000000003</v>
      </c>
      <c r="D24">
        <f>D5</f>
        <v>0.55000000000000004</v>
      </c>
      <c r="E24" s="2">
        <f>IFERROR((C24*1000)/(1000/(B24*D24)), 0)</f>
        <v>44.085800000000006</v>
      </c>
    </row>
    <row r="25" spans="1:5" ht="18" x14ac:dyDescent="0.25">
      <c r="A25" t="s">
        <v>26</v>
      </c>
      <c r="B25">
        <v>2</v>
      </c>
      <c r="C25">
        <v>28.012</v>
      </c>
      <c r="D25">
        <f>D5</f>
        <v>0.55000000000000004</v>
      </c>
      <c r="E25" s="2">
        <f>IFERROR((C25*1000)/(1000/(B25*D25)), 0)</f>
        <v>30.813200000000002</v>
      </c>
    </row>
    <row r="26" spans="1:5" ht="18" x14ac:dyDescent="0.25">
      <c r="A26" t="s">
        <v>27</v>
      </c>
      <c r="B26">
        <v>1</v>
      </c>
      <c r="C26">
        <v>28.012</v>
      </c>
      <c r="D26">
        <f>D6</f>
        <v>0.8</v>
      </c>
      <c r="E26" s="2">
        <f>IFERROR((C26*1000)/(1000/(B26*D26)), 0)</f>
        <v>22.409600000000001</v>
      </c>
    </row>
    <row r="27" spans="1:5" ht="18" x14ac:dyDescent="0.25">
      <c r="A27" t="s">
        <v>28</v>
      </c>
      <c r="B27">
        <v>1</v>
      </c>
      <c r="C27">
        <v>39.094299999999997</v>
      </c>
      <c r="D27">
        <f>D10</f>
        <v>3</v>
      </c>
      <c r="E27" s="2">
        <f>IFERROR((C27*1000)/(1000/(B27*D27)), 0)</f>
        <v>117.2829</v>
      </c>
    </row>
    <row r="28" spans="1:5" ht="18" x14ac:dyDescent="0.25">
      <c r="A28" t="s">
        <v>29</v>
      </c>
      <c r="B28">
        <v>1</v>
      </c>
      <c r="C28">
        <v>30.973700000000001</v>
      </c>
      <c r="D28">
        <f>D10</f>
        <v>3</v>
      </c>
      <c r="E28" s="2">
        <f>IFERROR((C28*1000)/(1000/(B28*D28)), 0)</f>
        <v>92.92110000000001</v>
      </c>
    </row>
    <row r="29" spans="1:5" x14ac:dyDescent="0.2">
      <c r="A29" t="s">
        <v>30</v>
      </c>
      <c r="B29">
        <v>1</v>
      </c>
      <c r="C29">
        <v>39.094299999999997</v>
      </c>
      <c r="D29">
        <f>D11</f>
        <v>0</v>
      </c>
      <c r="E29" s="2">
        <f>IFERROR((C29*1000)/(1000/(B29*D29)), 0)</f>
        <v>0</v>
      </c>
    </row>
    <row r="30" spans="1:5" x14ac:dyDescent="0.2">
      <c r="A30" t="s">
        <v>31</v>
      </c>
      <c r="B30">
        <v>1</v>
      </c>
      <c r="C30">
        <v>35.453000000000003</v>
      </c>
      <c r="D30">
        <f>D11</f>
        <v>0</v>
      </c>
      <c r="E30" s="2">
        <f>IFERROR((C30*1000)/(1000/(B30*D30)), 0)</f>
        <v>0</v>
      </c>
    </row>
    <row r="31" spans="1:5" ht="18" x14ac:dyDescent="0.25">
      <c r="A31" t="s">
        <v>32</v>
      </c>
      <c r="B31">
        <v>1</v>
      </c>
      <c r="C31">
        <v>40.078000000000003</v>
      </c>
      <c r="D31">
        <f>D12</f>
        <v>0.5</v>
      </c>
      <c r="E31" s="2">
        <f>IFERROR((C31*1000)/(1000/(B31*D31)), 0)</f>
        <v>20.039000000000001</v>
      </c>
    </row>
    <row r="32" spans="1:5" x14ac:dyDescent="0.2">
      <c r="A32" t="s">
        <v>43</v>
      </c>
      <c r="B32">
        <v>1</v>
      </c>
      <c r="C32">
        <v>40.078000000000003</v>
      </c>
      <c r="D32">
        <f>D13</f>
        <v>2.4</v>
      </c>
      <c r="E32" s="2">
        <f t="shared" ref="E32:E34" si="1">IFERROR((C32*1000)/(1000/(B32*D32)), 0)</f>
        <v>96.18719999999999</v>
      </c>
    </row>
    <row r="33" spans="1:5" x14ac:dyDescent="0.2">
      <c r="A33" t="s">
        <v>44</v>
      </c>
      <c r="B33">
        <v>1</v>
      </c>
      <c r="C33">
        <v>35.453000000000003</v>
      </c>
      <c r="D33">
        <f>D13</f>
        <v>2.4</v>
      </c>
      <c r="E33" s="2">
        <f t="shared" si="1"/>
        <v>85.087199999999996</v>
      </c>
    </row>
    <row r="34" spans="1:5" ht="18" x14ac:dyDescent="0.25">
      <c r="A34" t="s">
        <v>33</v>
      </c>
      <c r="B34">
        <v>2</v>
      </c>
      <c r="C34">
        <v>24.305</v>
      </c>
      <c r="D34">
        <f>D14</f>
        <v>1</v>
      </c>
      <c r="E34" s="2">
        <f t="shared" si="1"/>
        <v>48.61</v>
      </c>
    </row>
    <row r="35" spans="1:5" ht="18" x14ac:dyDescent="0.25">
      <c r="A35" t="s">
        <v>40</v>
      </c>
      <c r="B35">
        <v>2</v>
      </c>
      <c r="C35">
        <v>32.064999999999998</v>
      </c>
      <c r="D35">
        <f>D14</f>
        <v>1</v>
      </c>
      <c r="E35" s="2">
        <f>IFERROR((C35*1000)/(1000/(B35*D35)), 0)</f>
        <v>64.13</v>
      </c>
    </row>
    <row r="37" spans="1:5" x14ac:dyDescent="0.2">
      <c r="A37" s="1" t="s">
        <v>42</v>
      </c>
    </row>
    <row r="38" spans="1:5" x14ac:dyDescent="0.2">
      <c r="A38" t="s">
        <v>41</v>
      </c>
      <c r="B38" t="s">
        <v>17</v>
      </c>
      <c r="C38" t="s">
        <v>45</v>
      </c>
      <c r="D38" t="s">
        <v>46</v>
      </c>
    </row>
    <row r="39" spans="1:5" x14ac:dyDescent="0.2">
      <c r="A39" t="s">
        <v>34</v>
      </c>
      <c r="B39" s="2">
        <f>SUM(E20,E23,E25,E26)</f>
        <v>70.03</v>
      </c>
      <c r="C39" t="s">
        <v>18</v>
      </c>
      <c r="D39" s="2" t="s">
        <v>18</v>
      </c>
    </row>
    <row r="40" spans="1:5" x14ac:dyDescent="0.2">
      <c r="A40" t="s">
        <v>35</v>
      </c>
      <c r="B40" s="2">
        <f>SUM(E21,E28)</f>
        <v>92.92110000000001</v>
      </c>
      <c r="C40" t="s">
        <v>18</v>
      </c>
      <c r="D40" s="2" t="s">
        <v>18</v>
      </c>
    </row>
    <row r="41" spans="1:5" x14ac:dyDescent="0.2">
      <c r="A41" t="s">
        <v>36</v>
      </c>
      <c r="B41" s="2">
        <f>SUM(E22,E27,E29)</f>
        <v>164.19605999999999</v>
      </c>
      <c r="C41">
        <v>156.4</v>
      </c>
      <c r="D41" s="2">
        <f t="shared" ref="D41:D44" si="2">C41-B41</f>
        <v>-7.7960599999999829</v>
      </c>
    </row>
    <row r="42" spans="1:5" x14ac:dyDescent="0.2">
      <c r="A42" t="s">
        <v>37</v>
      </c>
      <c r="B42" s="2">
        <f>E31+E24+E32</f>
        <v>160.31200000000001</v>
      </c>
      <c r="C42">
        <v>160.30000000000001</v>
      </c>
      <c r="D42" s="2">
        <f t="shared" si="2"/>
        <v>-1.2000000000000455E-2</v>
      </c>
    </row>
    <row r="43" spans="1:5" x14ac:dyDescent="0.2">
      <c r="A43" t="s">
        <v>38</v>
      </c>
      <c r="B43" s="2">
        <f>E34</f>
        <v>48.61</v>
      </c>
      <c r="C43">
        <v>48.6</v>
      </c>
      <c r="D43" s="2">
        <f t="shared" si="2"/>
        <v>-9.9999999999980105E-3</v>
      </c>
    </row>
    <row r="44" spans="1:5" x14ac:dyDescent="0.2">
      <c r="A44" t="s">
        <v>39</v>
      </c>
      <c r="B44" s="2">
        <f>E35</f>
        <v>64.13</v>
      </c>
      <c r="C44">
        <v>64.099999999999994</v>
      </c>
      <c r="D44" s="2">
        <f t="shared" si="2"/>
        <v>-3.0000000000001137E-2</v>
      </c>
    </row>
    <row r="46" spans="1:5" x14ac:dyDescent="0.2">
      <c r="A46" s="3" t="s">
        <v>48</v>
      </c>
      <c r="B46" s="4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70 ppm N, 0 ppm P</vt:lpstr>
      <vt:lpstr>70 ppm N, 7.5 ppm P</vt:lpstr>
      <vt:lpstr>70 ppm N, 15 ppm P</vt:lpstr>
      <vt:lpstr>70 ppm N, 31 ppm P</vt:lpstr>
      <vt:lpstr>70 ppm N, 62 ppm P</vt:lpstr>
      <vt:lpstr>70 ppm N, 93 ppm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2026-05-25T18:00:36Z</dcterms:created>
  <dcterms:modified xsi:type="dcterms:W3CDTF">2026-05-25T19:56:59Z</dcterms:modified>
</cp:coreProperties>
</file>