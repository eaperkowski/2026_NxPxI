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2026_NxPxI/hoagland_recipes/"/>
    </mc:Choice>
  </mc:AlternateContent>
  <xr:revisionPtr revIDLastSave="0" documentId="13_ncr:1_{B7E74273-93D2-B445-9A65-2CA28DB437BD}" xr6:coauthVersionLast="47" xr6:coauthVersionMax="47" xr10:uidLastSave="{00000000-0000-0000-0000-000000000000}"/>
  <bookViews>
    <workbookView xWindow="34280" yWindow="5200" windowWidth="28500" windowHeight="18980" activeTab="6" xr2:uid="{EA5B7CD4-0592-B14D-A568-E53194DF6487}"/>
  </bookViews>
  <sheets>
    <sheet name="Stock solutions" sheetId="1" r:id="rId1"/>
    <sheet name="210 ppm N, 0 ppm P" sheetId="2" r:id="rId2"/>
    <sheet name="210 ppm N, 7.5 ppm P" sheetId="10" r:id="rId3"/>
    <sheet name="210 ppm N, 15 ppm P" sheetId="7" r:id="rId4"/>
    <sheet name="210 ppm N, 31 ppm P" sheetId="5" r:id="rId5"/>
    <sheet name="210 ppm N, 62 ppm P" sheetId="8" r:id="rId6"/>
    <sheet name="210 ppm N, 93 ppm P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9" l="1"/>
  <c r="F5" i="9"/>
  <c r="F6" i="9"/>
  <c r="F7" i="9"/>
  <c r="F8" i="9"/>
  <c r="F9" i="9"/>
  <c r="F10" i="9"/>
  <c r="F11" i="9"/>
  <c r="F12" i="9"/>
  <c r="F13" i="9"/>
  <c r="F14" i="9"/>
  <c r="F15" i="9"/>
  <c r="F15" i="8"/>
  <c r="F4" i="8"/>
  <c r="F5" i="8"/>
  <c r="F6" i="8"/>
  <c r="F7" i="8"/>
  <c r="F8" i="8"/>
  <c r="F9" i="8"/>
  <c r="F10" i="8"/>
  <c r="F11" i="8"/>
  <c r="F12" i="8"/>
  <c r="F13" i="8"/>
  <c r="F14" i="8"/>
  <c r="F3" i="8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3" i="5"/>
  <c r="B36" i="7"/>
  <c r="F7" i="7"/>
  <c r="F8" i="7"/>
  <c r="F9" i="7"/>
  <c r="F10" i="7"/>
  <c r="F11" i="7"/>
  <c r="F12" i="7"/>
  <c r="F13" i="7"/>
  <c r="F14" i="7"/>
  <c r="F15" i="7"/>
  <c r="F4" i="7"/>
  <c r="F5" i="7"/>
  <c r="F6" i="7"/>
  <c r="F3" i="7"/>
  <c r="F7" i="10"/>
  <c r="F8" i="10"/>
  <c r="F9" i="10"/>
  <c r="F10" i="10"/>
  <c r="F11" i="10"/>
  <c r="F12" i="10"/>
  <c r="F13" i="10"/>
  <c r="F14" i="10"/>
  <c r="F15" i="10"/>
  <c r="F4" i="10"/>
  <c r="F5" i="10"/>
  <c r="F6" i="10"/>
  <c r="F3" i="10"/>
  <c r="F7" i="2"/>
  <c r="F8" i="2"/>
  <c r="F9" i="2"/>
  <c r="F10" i="2"/>
  <c r="F11" i="2"/>
  <c r="F12" i="2"/>
  <c r="F13" i="2"/>
  <c r="F14" i="2"/>
  <c r="F15" i="2"/>
  <c r="F4" i="2"/>
  <c r="F5" i="2"/>
  <c r="F6" i="2"/>
  <c r="F3" i="2"/>
  <c r="D32" i="9"/>
  <c r="E32" i="9" s="1"/>
  <c r="B41" i="9" s="1"/>
  <c r="D31" i="9"/>
  <c r="E31" i="9" s="1"/>
  <c r="B40" i="9" s="1"/>
  <c r="D30" i="9"/>
  <c r="D29" i="9"/>
  <c r="D28" i="9"/>
  <c r="D27" i="9"/>
  <c r="D26" i="9"/>
  <c r="D25" i="9"/>
  <c r="D24" i="9"/>
  <c r="E24" i="9" s="1"/>
  <c r="D23" i="9"/>
  <c r="E23" i="9" s="1"/>
  <c r="B39" i="9" s="1"/>
  <c r="D22" i="9"/>
  <c r="E22" i="9" s="1"/>
  <c r="D21" i="9"/>
  <c r="E21" i="9" s="1"/>
  <c r="B38" i="9" s="1"/>
  <c r="D20" i="9"/>
  <c r="E20" i="9" s="1"/>
  <c r="B37" i="9" s="1"/>
  <c r="D19" i="9"/>
  <c r="E19" i="9" s="1"/>
  <c r="E15" i="9"/>
  <c r="E13" i="9"/>
  <c r="E5" i="9"/>
  <c r="E4" i="9"/>
  <c r="E3" i="9"/>
  <c r="D32" i="8"/>
  <c r="E32" i="8" s="1"/>
  <c r="B41" i="8" s="1"/>
  <c r="D31" i="8"/>
  <c r="E31" i="8" s="1"/>
  <c r="B40" i="8" s="1"/>
  <c r="D30" i="8"/>
  <c r="D29" i="8"/>
  <c r="D28" i="8"/>
  <c r="D27" i="8"/>
  <c r="D26" i="8"/>
  <c r="D25" i="8"/>
  <c r="E25" i="8" s="1"/>
  <c r="D24" i="8"/>
  <c r="E24" i="8" s="1"/>
  <c r="E23" i="8"/>
  <c r="B39" i="8" s="1"/>
  <c r="D23" i="8"/>
  <c r="D22" i="8"/>
  <c r="E22" i="8" s="1"/>
  <c r="D21" i="8"/>
  <c r="E21" i="8" s="1"/>
  <c r="B38" i="8" s="1"/>
  <c r="D20" i="8"/>
  <c r="E20" i="8" s="1"/>
  <c r="B37" i="8" s="1"/>
  <c r="D19" i="8"/>
  <c r="E19" i="8" s="1"/>
  <c r="E15" i="8"/>
  <c r="E13" i="8"/>
  <c r="E6" i="8"/>
  <c r="E5" i="8"/>
  <c r="E4" i="8"/>
  <c r="E3" i="8"/>
  <c r="E3" i="5"/>
  <c r="D32" i="5"/>
  <c r="E32" i="5" s="1"/>
  <c r="B41" i="5" s="1"/>
  <c r="D31" i="5"/>
  <c r="E31" i="5" s="1"/>
  <c r="B40" i="5" s="1"/>
  <c r="D30" i="5"/>
  <c r="D29" i="5"/>
  <c r="D28" i="5"/>
  <c r="D27" i="5"/>
  <c r="D26" i="5"/>
  <c r="D25" i="5"/>
  <c r="E25" i="5" s="1"/>
  <c r="D24" i="5"/>
  <c r="E24" i="5" s="1"/>
  <c r="D23" i="5"/>
  <c r="E23" i="5" s="1"/>
  <c r="B39" i="5" s="1"/>
  <c r="D22" i="5"/>
  <c r="E22" i="5" s="1"/>
  <c r="D21" i="5"/>
  <c r="E21" i="5" s="1"/>
  <c r="B38" i="5" s="1"/>
  <c r="D20" i="5"/>
  <c r="E20" i="5" s="1"/>
  <c r="B37" i="5" s="1"/>
  <c r="D19" i="5"/>
  <c r="E19" i="5" s="1"/>
  <c r="E15" i="5"/>
  <c r="E13" i="5"/>
  <c r="E6" i="5"/>
  <c r="E5" i="5"/>
  <c r="E4" i="5"/>
  <c r="E3" i="7"/>
  <c r="B36" i="9" l="1"/>
  <c r="B36" i="8"/>
  <c r="B36" i="5"/>
  <c r="E6" i="7"/>
  <c r="E5" i="7"/>
  <c r="E4" i="7"/>
  <c r="E21" i="10"/>
  <c r="E23" i="10"/>
  <c r="E6" i="10"/>
  <c r="E5" i="10"/>
  <c r="E4" i="10"/>
  <c r="E24" i="2"/>
  <c r="E4" i="2"/>
  <c r="E5" i="2"/>
  <c r="E6" i="2"/>
  <c r="D32" i="10"/>
  <c r="E32" i="10" s="1"/>
  <c r="B41" i="10" s="1"/>
  <c r="D31" i="10"/>
  <c r="E31" i="10" s="1"/>
  <c r="B40" i="10" s="1"/>
  <c r="D30" i="10"/>
  <c r="D29" i="10"/>
  <c r="D28" i="10"/>
  <c r="D27" i="10"/>
  <c r="D26" i="10"/>
  <c r="B38" i="10" s="1"/>
  <c r="D25" i="10"/>
  <c r="E25" i="10" s="1"/>
  <c r="D24" i="10"/>
  <c r="E24" i="10" s="1"/>
  <c r="D23" i="10"/>
  <c r="D22" i="10"/>
  <c r="E22" i="10" s="1"/>
  <c r="D21" i="10"/>
  <c r="D20" i="10"/>
  <c r="E20" i="10" s="1"/>
  <c r="D19" i="10"/>
  <c r="E15" i="10"/>
  <c r="E13" i="10"/>
  <c r="D32" i="7"/>
  <c r="E32" i="7" s="1"/>
  <c r="B41" i="7" s="1"/>
  <c r="D31" i="7"/>
  <c r="E31" i="7" s="1"/>
  <c r="B40" i="7" s="1"/>
  <c r="D30" i="7"/>
  <c r="D29" i="7"/>
  <c r="D28" i="7"/>
  <c r="D27" i="7"/>
  <c r="D26" i="7"/>
  <c r="D25" i="7"/>
  <c r="E25" i="7" s="1"/>
  <c r="D24" i="7"/>
  <c r="E24" i="7" s="1"/>
  <c r="D23" i="7"/>
  <c r="E23" i="7" s="1"/>
  <c r="D22" i="7"/>
  <c r="E22" i="7" s="1"/>
  <c r="D21" i="7"/>
  <c r="E21" i="7" s="1"/>
  <c r="D20" i="7"/>
  <c r="E20" i="7" s="1"/>
  <c r="D19" i="7"/>
  <c r="E19" i="7" s="1"/>
  <c r="E15" i="7"/>
  <c r="E13" i="7"/>
  <c r="E13" i="2"/>
  <c r="E15" i="2"/>
  <c r="D19" i="2"/>
  <c r="D20" i="2"/>
  <c r="D21" i="2"/>
  <c r="E21" i="2" s="1"/>
  <c r="B38" i="2" s="1"/>
  <c r="D22" i="2"/>
  <c r="E22" i="2" s="1"/>
  <c r="D23" i="2"/>
  <c r="E23" i="2" s="1"/>
  <c r="D24" i="2"/>
  <c r="D25" i="2"/>
  <c r="E25" i="2" s="1"/>
  <c r="D26" i="2"/>
  <c r="D27" i="2"/>
  <c r="D28" i="2"/>
  <c r="D29" i="2"/>
  <c r="D30" i="2"/>
  <c r="D31" i="2"/>
  <c r="E31" i="2" s="1"/>
  <c r="B40" i="2" s="1"/>
  <c r="D32" i="2"/>
  <c r="E32" i="2" s="1"/>
  <c r="B41" i="2" s="1"/>
  <c r="B37" i="2"/>
  <c r="C9" i="1"/>
  <c r="C4" i="1"/>
  <c r="C3" i="1"/>
  <c r="B39" i="7" l="1"/>
  <c r="B37" i="7"/>
  <c r="B39" i="10"/>
  <c r="B36" i="2"/>
  <c r="E19" i="10"/>
  <c r="B36" i="10" s="1"/>
  <c r="B37" i="10"/>
  <c r="B39" i="2"/>
  <c r="B38" i="7"/>
</calcChain>
</file>

<file path=xl/sharedStrings.xml><?xml version="1.0" encoding="utf-8"?>
<sst xmlns="http://schemas.openxmlformats.org/spreadsheetml/2006/main" count="379" uniqueCount="62">
  <si>
    <t>compound name and stock solution  molarity</t>
  </si>
  <si>
    <t>molar mass (g per L)</t>
  </si>
  <si>
    <t>stock solution (g per L)</t>
  </si>
  <si>
    <r>
      <t>1 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</si>
  <si>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2 M KNO</t>
    </r>
    <r>
      <rPr>
        <vertAlign val="subscript"/>
        <sz val="12"/>
        <color theme="1"/>
        <rFont val="Calibri (Body)"/>
      </rPr>
      <t>3</t>
    </r>
  </si>
  <si>
    <r>
      <t>2 M 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</si>
  <si>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r>
      <t>1 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 xml:space="preserve"> (for treatments below 280 ppm/20 mM N)</t>
    </r>
  </si>
  <si>
    <r>
      <t>1 M 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</si>
  <si>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t>1 M KCl</t>
  </si>
  <si>
    <r>
      <t>1 M CaCO</t>
    </r>
    <r>
      <rPr>
        <vertAlign val="subscript"/>
        <sz val="12"/>
        <color theme="1"/>
        <rFont val="Calibri (Body)"/>
      </rPr>
      <t>3</t>
    </r>
  </si>
  <si>
    <r>
      <t>2 M MgSO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</si>
  <si>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t>10 % Fe-EDTA</t>
  </si>
  <si>
    <r>
      <t>Trace Elements (all compounds combined in 1 L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O)</t>
    </r>
  </si>
  <si>
    <r>
      <t>MnCl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</si>
  <si>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r>
      <t>H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BO</t>
    </r>
    <r>
      <rPr>
        <vertAlign val="subscript"/>
        <sz val="12"/>
        <color theme="1"/>
        <rFont val="Calibri (Body)"/>
      </rPr>
      <t>3</t>
    </r>
  </si>
  <si>
    <r>
      <t>ZnSO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</si>
  <si>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r>
      <t>CuSO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 xml:space="preserve"> * 5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</si>
  <si>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t>85% Molybdic acid</t>
  </si>
  <si>
    <t>Primary N addition compounds</t>
  </si>
  <si>
    <t>compound</t>
  </si>
  <si>
    <t>M</t>
  </si>
  <si>
    <t>mg/mol</t>
  </si>
  <si>
    <t>ml per L</t>
  </si>
  <si>
    <t>ppm</t>
  </si>
  <si>
    <r>
      <t>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</si>
  <si>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KNO</t>
    </r>
    <r>
      <rPr>
        <vertAlign val="subscript"/>
        <sz val="12"/>
        <color theme="1"/>
        <rFont val="Calibri (Body)"/>
      </rPr>
      <t>3</t>
    </r>
  </si>
  <si>
    <r>
      <t>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 xml:space="preserve"> * 4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</si>
  <si>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r>
      <t>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Calibri (Body)"/>
      </rPr>
      <t>3</t>
    </r>
  </si>
  <si>
    <t>Supplemental macros &amp; micros</t>
  </si>
  <si>
    <r>
      <t>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</si>
  <si>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t>KCl</t>
  </si>
  <si>
    <r>
      <t>CaCO</t>
    </r>
    <r>
      <rPr>
        <vertAlign val="subscript"/>
        <sz val="12"/>
        <color theme="1"/>
        <rFont val="Calibri (Body)"/>
      </rPr>
      <t>3</t>
    </r>
  </si>
  <si>
    <r>
      <t>MgSO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 xml:space="preserve"> * 7 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O</t>
    </r>
  </si>
  <si>
    <t>10% Fe-EDTA</t>
  </si>
  <si>
    <t>Trace elements</t>
  </si>
  <si>
    <t>Individual NPK ppm</t>
  </si>
  <si>
    <t>element</t>
  </si>
  <si>
    <r>
      <t>N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</si>
  <si>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P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</si>
  <si>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K from KNO</t>
    </r>
    <r>
      <rPr>
        <vertAlign val="subscript"/>
        <sz val="12"/>
        <color theme="1"/>
        <rFont val="Calibri (Body)"/>
      </rPr>
      <t>3</t>
    </r>
  </si>
  <si>
    <r>
      <t>N from KNO</t>
    </r>
    <r>
      <rPr>
        <vertAlign val="subscript"/>
        <sz val="12"/>
        <color theme="1"/>
        <rFont val="Calibri (Body)"/>
      </rPr>
      <t>3</t>
    </r>
  </si>
  <si>
    <r>
      <t>Ca from 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</si>
  <si>
    <r>
      <t>N from Ca(NO</t>
    </r>
    <r>
      <rPr>
        <vertAlign val="subscript"/>
        <sz val="12"/>
        <color theme="1"/>
        <rFont val="Calibri (Body)"/>
      </rPr>
      <t>3</t>
    </r>
    <r>
      <rPr>
        <sz val="12"/>
        <color theme="1"/>
        <rFont val="Aptos Narrow"/>
        <family val="2"/>
        <scheme val="minor"/>
      </rPr>
      <t>)</t>
    </r>
    <r>
      <rPr>
        <vertAlign val="subscript"/>
        <sz val="12"/>
        <color theme="1"/>
        <rFont val="Calibri (Body)"/>
      </rPr>
      <t>2</t>
    </r>
  </si>
  <si>
    <r>
      <t>N from NH</t>
    </r>
    <r>
      <rPr>
        <vertAlign val="subscript"/>
        <sz val="12"/>
        <color theme="1"/>
        <rFont val="Calibri (Body)"/>
      </rPr>
      <t>4</t>
    </r>
    <r>
      <rPr>
        <sz val="12"/>
        <color theme="1"/>
        <rFont val="Aptos Narrow"/>
        <family val="2"/>
        <scheme val="minor"/>
      </rPr>
      <t>NO</t>
    </r>
    <r>
      <rPr>
        <vertAlign val="subscript"/>
        <sz val="12"/>
        <color theme="1"/>
        <rFont val="Calibri (Body)"/>
      </rPr>
      <t>3</t>
    </r>
  </si>
  <si>
    <r>
      <t>K from 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</si>
  <si>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r>
      <t>P from KH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Aptos Narrow"/>
        <family val="2"/>
        <scheme val="minor"/>
      </rPr>
      <t>PO</t>
    </r>
    <r>
      <rPr>
        <vertAlign val="subscript"/>
        <sz val="12"/>
        <color theme="1"/>
        <rFont val="Calibri (Body)"/>
      </rPr>
      <t>4</t>
    </r>
  </si>
  <si>
    <t>K from KCl</t>
  </si>
  <si>
    <t>Cl from KCl</t>
  </si>
  <si>
    <r>
      <t>Ca from CaCO</t>
    </r>
    <r>
      <rPr>
        <vertAlign val="subscript"/>
        <sz val="12"/>
        <color theme="1"/>
        <rFont val="Calibri (Body)"/>
      </rPr>
      <t>3</t>
    </r>
  </si>
  <si>
    <r>
      <t>Mg from MgSO</t>
    </r>
    <r>
      <rPr>
        <vertAlign val="subscript"/>
        <sz val="12"/>
        <color theme="1"/>
        <rFont val="Calibri (Body)"/>
      </rPr>
      <t>4</t>
    </r>
  </si>
  <si>
    <r>
      <t>S from SO</t>
    </r>
    <r>
      <rPr>
        <vertAlign val="subscript"/>
        <sz val="12"/>
        <color theme="1"/>
        <rFont val="Calibri (Body)"/>
      </rPr>
      <t>4</t>
    </r>
  </si>
  <si>
    <t>Total macronutrient ppm in solution</t>
  </si>
  <si>
    <t>macronutrient</t>
  </si>
  <si>
    <t>N</t>
  </si>
  <si>
    <t>P</t>
  </si>
  <si>
    <t>K</t>
  </si>
  <si>
    <t>Ca</t>
  </si>
  <si>
    <t>Mg</t>
  </si>
  <si>
    <t>S</t>
  </si>
  <si>
    <t>Standard Hoagland</t>
  </si>
  <si>
    <t>macro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</si>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</sst>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2"/>
      <color theme="1"/>
      <name val="Calibri (Body)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2" fontId="0" fillId="0" borderId="0" xfId="0" applyNumberFormat="1"/>
    <xf numFmtId="0" fontId="0" fillId="0" borderId="2" xfId="0" applyBorder="1"/>
    <xf numFmtId="2" fontId="0" fillId="0" borderId="2" xfId="0" applyNumberFormat="1" applyBorder="1"/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right"/>
    </xf>
    <xf numFmtId="0" fontId="1" fillId="0" borderId="0" xfId="0" applyFont="1"/>
    <xf numFmtId="164" fontId="0" fillId="0" borderId="0" xfId="0" applyNumberFormat="1"/>
    <xf numFmtId="0" fontId="0" fillId="0" borderId="4" xfId="0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5" xfId="0" applyFont="1" applyFill="1" applyBorder="1"/>
    <xf numFmtId="0" fontId="3" fillId="2" borderId="8" xfId="0" applyFont="1" applyFill="1" applyBorder="1"/>
    <xf numFmtId="0" fontId="0" fillId="0" borderId="3" xfId="0" applyBorder="1"/>
    <xf numFmtId="164" fontId="0" fillId="0" borderId="3" xfId="0" applyNumberFormat="1" applyBorder="1"/>
    <xf numFmtId="16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D20D-F70A-A744-A301-DE87ED3333C4}">
  <dimension ref="A1:C16"/>
  <sheetViews>
    <sheetView zoomScale="270" zoomScaleNormal="270" workbookViewId="0">
      <selection activeCell="C4" sqref="C4"/>
    </sheetView>
  </sheetViews>
  <sheetFormatPr baseColWidth="10" defaultRowHeight="16" x14ac:dyDescent="0.2"/>
  <cols>
    <col min="1" max="1" width="45.1640625" bestFit="1" customWidth="1"/>
    <col min="2" max="2" width="18.1640625" bestFit="1" customWidth="1"/>
    <col min="3" max="3" width="20" bestFit="1" customWidth="1"/>
  </cols>
  <sheetData>
    <row r="1" spans="1:3" ht="17" thickBot="1" x14ac:dyDescent="0.25">
      <c r="A1" s="1" t="s">
        <v>0</v>
      </c>
      <c r="B1" s="1" t="s">
        <v>1</v>
      </c>
      <c r="C1" s="1" t="s">
        <v>2</v>
      </c>
    </row>
    <row r="2" spans="1:3" ht="18" x14ac:dyDescent="0.25">
      <c r="A2" t="s">
        <v>3</v>
      </c>
      <c r="B2" s="2">
        <v>115.03</v>
      </c>
      <c r="C2">
        <v>115.03</v>
      </c>
    </row>
    <row r="3" spans="1:3" ht="18" x14ac:dyDescent="0.25">
      <c r="A3" t="s">
        <v>4</v>
      </c>
      <c r="B3" s="2">
        <v>101.11</v>
      </c>
      <c r="C3">
        <f>B3*2</f>
        <v>202.22</v>
      </c>
    </row>
    <row r="4" spans="1:3" ht="18" x14ac:dyDescent="0.25">
      <c r="A4" t="s">
        <v>5</v>
      </c>
      <c r="B4" s="2">
        <v>236.15</v>
      </c>
      <c r="C4">
        <f>B4*2</f>
        <v>472.3</v>
      </c>
    </row>
    <row r="5" spans="1:3" ht="18" x14ac:dyDescent="0.25">
      <c r="A5" t="s">
        <v>6</v>
      </c>
      <c r="B5" s="2">
        <v>80.040000000000006</v>
      </c>
      <c r="C5">
        <v>80.040000000000006</v>
      </c>
    </row>
    <row r="6" spans="1:3" ht="18" x14ac:dyDescent="0.25">
      <c r="A6" t="s">
        <v>7</v>
      </c>
      <c r="B6" s="2">
        <v>136.09</v>
      </c>
      <c r="C6">
        <v>136.09</v>
      </c>
    </row>
    <row r="7" spans="1:3" x14ac:dyDescent="0.2">
      <c r="A7" t="s">
        <v>8</v>
      </c>
      <c r="B7" s="2">
        <v>74.55</v>
      </c>
      <c r="C7">
        <v>74.55</v>
      </c>
    </row>
    <row r="8" spans="1:3" ht="18" x14ac:dyDescent="0.25">
      <c r="A8" t="s">
        <v>9</v>
      </c>
      <c r="B8" s="2">
        <v>100.09</v>
      </c>
      <c r="C8">
        <v>100.09</v>
      </c>
    </row>
    <row r="9" spans="1:3" ht="18" x14ac:dyDescent="0.25">
      <c r="A9" t="s">
        <v>10</v>
      </c>
      <c r="B9" s="2">
        <v>246.48</v>
      </c>
      <c r="C9">
        <f>B9*2</f>
        <v>492.96</v>
      </c>
    </row>
    <row r="10" spans="1:3" ht="17" thickBot="1" x14ac:dyDescent="0.25">
      <c r="A10" s="3" t="s">
        <v>11</v>
      </c>
      <c r="B10" s="4">
        <v>38.5</v>
      </c>
      <c r="C10" s="3">
        <v>38.5</v>
      </c>
    </row>
    <row r="11" spans="1:3" ht="19" thickBot="1" x14ac:dyDescent="0.3">
      <c r="A11" s="5" t="s">
        <v>12</v>
      </c>
      <c r="B11" s="6"/>
      <c r="C11" s="5"/>
    </row>
    <row r="12" spans="1:3" ht="18" x14ac:dyDescent="0.25">
      <c r="A12" s="7" t="s">
        <v>13</v>
      </c>
      <c r="B12">
        <v>197.92</v>
      </c>
      <c r="C12">
        <v>1.81</v>
      </c>
    </row>
    <row r="13" spans="1:3" ht="18" x14ac:dyDescent="0.25">
      <c r="A13" s="7" t="s">
        <v>14</v>
      </c>
      <c r="B13">
        <v>61.83</v>
      </c>
      <c r="C13">
        <v>2.83</v>
      </c>
    </row>
    <row r="14" spans="1:3" ht="18" x14ac:dyDescent="0.25">
      <c r="A14" s="7" t="s">
        <v>15</v>
      </c>
      <c r="B14" s="2">
        <v>287.60000000000002</v>
      </c>
      <c r="C14">
        <v>0.22</v>
      </c>
    </row>
    <row r="15" spans="1:3" ht="18" x14ac:dyDescent="0.25">
      <c r="A15" s="7" t="s">
        <v>16</v>
      </c>
      <c r="B15" s="2">
        <v>249.68</v>
      </c>
      <c r="C15">
        <v>0.08</v>
      </c>
    </row>
    <row r="16" spans="1:3" x14ac:dyDescent="0.2">
      <c r="A16" s="7" t="s">
        <v>17</v>
      </c>
      <c r="B16" s="2">
        <v>161.94999999999999</v>
      </c>
      <c r="C16">
        <v>0.106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91A3-BC3E-BA4A-95DE-642736502BE5}">
  <dimension ref="A1:F41"/>
  <sheetViews>
    <sheetView zoomScale="200" zoomScaleNormal="200" workbookViewId="0">
      <selection activeCell="F14" sqref="F14"/>
    </sheetView>
  </sheetViews>
  <sheetFormatPr baseColWidth="10" defaultRowHeight="16" x14ac:dyDescent="0.2"/>
  <cols>
    <col min="1" max="1" width="30.6640625" bestFit="1" customWidth="1"/>
    <col min="2" max="2" width="5.6640625" bestFit="1" customWidth="1"/>
    <col min="3" max="3" width="8.1640625" bestFit="1" customWidth="1"/>
  </cols>
  <sheetData>
    <row r="1" spans="1:6" x14ac:dyDescent="0.2">
      <c r="A1" s="8" t="s">
        <v>18</v>
      </c>
      <c r="B1" s="8"/>
    </row>
    <row r="2" spans="1:6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6" ht="18" x14ac:dyDescent="0.25">
      <c r="A3" t="s">
        <v>24</v>
      </c>
      <c r="B3">
        <v>1</v>
      </c>
      <c r="C3">
        <v>115.3</v>
      </c>
      <c r="D3">
        <v>0</v>
      </c>
      <c r="E3" s="9">
        <v>0</v>
      </c>
      <c r="F3">
        <f>D3*20</f>
        <v>0</v>
      </c>
    </row>
    <row r="4" spans="1:6" ht="18" x14ac:dyDescent="0.25">
      <c r="A4" t="s">
        <v>25</v>
      </c>
      <c r="B4">
        <v>2</v>
      </c>
      <c r="C4">
        <v>101.1</v>
      </c>
      <c r="D4">
        <v>2</v>
      </c>
      <c r="E4" s="9">
        <f t="shared" ref="E4:E5" si="0">(C4*1000)/(1000/(B4*D4))</f>
        <v>404.4</v>
      </c>
      <c r="F4">
        <f t="shared" ref="F4:F15" si="1">D4*20</f>
        <v>40</v>
      </c>
    </row>
    <row r="5" spans="1:6" ht="18" x14ac:dyDescent="0.25">
      <c r="A5" t="s">
        <v>26</v>
      </c>
      <c r="B5">
        <v>2</v>
      </c>
      <c r="C5">
        <v>164.08799999999999</v>
      </c>
      <c r="D5">
        <v>2</v>
      </c>
      <c r="E5" s="9">
        <f t="shared" si="0"/>
        <v>656.35199999999998</v>
      </c>
      <c r="F5">
        <f t="shared" si="1"/>
        <v>40</v>
      </c>
    </row>
    <row r="6" spans="1:6" ht="18" x14ac:dyDescent="0.25">
      <c r="A6" t="s">
        <v>27</v>
      </c>
      <c r="B6">
        <v>1</v>
      </c>
      <c r="C6">
        <v>80.043000000000006</v>
      </c>
      <c r="D6">
        <v>1.5</v>
      </c>
      <c r="E6" s="9">
        <f>(C6*1000)/(1000/(B6*D6))</f>
        <v>120.06450000000001</v>
      </c>
      <c r="F6">
        <f t="shared" si="1"/>
        <v>30</v>
      </c>
    </row>
    <row r="7" spans="1:6" x14ac:dyDescent="0.2">
      <c r="F7">
        <f t="shared" si="1"/>
        <v>0</v>
      </c>
    </row>
    <row r="8" spans="1:6" x14ac:dyDescent="0.2">
      <c r="A8" s="8" t="s">
        <v>28</v>
      </c>
      <c r="F8">
        <f t="shared" si="1"/>
        <v>0</v>
      </c>
    </row>
    <row r="9" spans="1:6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e">
        <f t="shared" si="1"/>
        <v>#VALUE!</v>
      </c>
    </row>
    <row r="10" spans="1:6" ht="18" x14ac:dyDescent="0.25">
      <c r="A10" t="s">
        <v>29</v>
      </c>
      <c r="B10">
        <v>1</v>
      </c>
      <c r="C10">
        <v>136.08600000000001</v>
      </c>
      <c r="D10">
        <v>0</v>
      </c>
      <c r="E10" s="9">
        <v>0</v>
      </c>
      <c r="F10">
        <f t="shared" si="1"/>
        <v>0</v>
      </c>
    </row>
    <row r="11" spans="1:6" x14ac:dyDescent="0.2">
      <c r="A11" t="s">
        <v>30</v>
      </c>
      <c r="B11">
        <v>1</v>
      </c>
      <c r="C11">
        <v>74.555000000000007</v>
      </c>
      <c r="D11">
        <v>0</v>
      </c>
      <c r="E11" s="9">
        <v>0</v>
      </c>
      <c r="F11">
        <f t="shared" si="1"/>
        <v>0</v>
      </c>
    </row>
    <row r="12" spans="1:6" ht="18" x14ac:dyDescent="0.25">
      <c r="A12" t="s">
        <v>31</v>
      </c>
      <c r="B12">
        <v>1</v>
      </c>
      <c r="C12">
        <v>100.087</v>
      </c>
      <c r="D12">
        <v>0</v>
      </c>
      <c r="E12" s="9">
        <v>0</v>
      </c>
      <c r="F12">
        <f t="shared" si="1"/>
        <v>0</v>
      </c>
    </row>
    <row r="13" spans="1:6" ht="18" x14ac:dyDescent="0.25">
      <c r="A13" t="s">
        <v>32</v>
      </c>
      <c r="B13">
        <v>2</v>
      </c>
      <c r="C13">
        <v>246.48</v>
      </c>
      <c r="D13">
        <v>1</v>
      </c>
      <c r="E13" s="9">
        <f t="shared" ref="E13:E15" si="2">(C13*1000)/(1000/(B13*D13))</f>
        <v>492.96</v>
      </c>
      <c r="F13">
        <f t="shared" si="1"/>
        <v>20</v>
      </c>
    </row>
    <row r="14" spans="1:6" x14ac:dyDescent="0.2">
      <c r="A14" t="s">
        <v>33</v>
      </c>
      <c r="B14">
        <v>1</v>
      </c>
      <c r="D14">
        <v>1</v>
      </c>
      <c r="E14" s="9"/>
      <c r="F14">
        <f t="shared" si="1"/>
        <v>20</v>
      </c>
    </row>
    <row r="15" spans="1:6" x14ac:dyDescent="0.2">
      <c r="A15" t="s">
        <v>34</v>
      </c>
      <c r="B15">
        <v>1</v>
      </c>
      <c r="D15">
        <v>1</v>
      </c>
      <c r="E15" s="9">
        <f t="shared" si="2"/>
        <v>0</v>
      </c>
      <c r="F15">
        <f t="shared" si="1"/>
        <v>20</v>
      </c>
    </row>
    <row r="17" spans="1:5" x14ac:dyDescent="0.2">
      <c r="A17" s="8" t="s">
        <v>35</v>
      </c>
    </row>
    <row r="18" spans="1:5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</row>
    <row r="19" spans="1:5" ht="18" x14ac:dyDescent="0.25">
      <c r="A19" t="s">
        <v>37</v>
      </c>
      <c r="B19">
        <v>1</v>
      </c>
      <c r="C19">
        <v>14.006</v>
      </c>
      <c r="D19">
        <f>D3</f>
        <v>0</v>
      </c>
      <c r="E19" s="9">
        <v>0</v>
      </c>
    </row>
    <row r="20" spans="1:5" ht="18" x14ac:dyDescent="0.25">
      <c r="A20" t="s">
        <v>38</v>
      </c>
      <c r="B20">
        <v>1</v>
      </c>
      <c r="C20">
        <v>30.973700000000001</v>
      </c>
      <c r="D20">
        <f>D3</f>
        <v>0</v>
      </c>
      <c r="E20" s="9">
        <v>0</v>
      </c>
    </row>
    <row r="21" spans="1:5" ht="18" x14ac:dyDescent="0.25">
      <c r="A21" t="s">
        <v>39</v>
      </c>
      <c r="B21">
        <v>2</v>
      </c>
      <c r="C21">
        <v>39.094299999999997</v>
      </c>
      <c r="D21">
        <f>D4</f>
        <v>2</v>
      </c>
      <c r="E21" s="9">
        <f t="shared" ref="E21:E25" si="3">(C21*1000)/(1000/(B21*D21))</f>
        <v>156.37719999999999</v>
      </c>
    </row>
    <row r="22" spans="1:5" ht="18" x14ac:dyDescent="0.25">
      <c r="A22" t="s">
        <v>40</v>
      </c>
      <c r="B22">
        <v>2</v>
      </c>
      <c r="C22">
        <v>14.006</v>
      </c>
      <c r="D22">
        <f>D4</f>
        <v>2</v>
      </c>
      <c r="E22" s="9">
        <f t="shared" si="3"/>
        <v>56.024000000000001</v>
      </c>
    </row>
    <row r="23" spans="1:5" ht="18" x14ac:dyDescent="0.25">
      <c r="A23" t="s">
        <v>41</v>
      </c>
      <c r="B23">
        <v>2</v>
      </c>
      <c r="C23">
        <v>40.078000000000003</v>
      </c>
      <c r="D23">
        <f>D5</f>
        <v>2</v>
      </c>
      <c r="E23" s="9">
        <f t="shared" si="3"/>
        <v>160.31200000000001</v>
      </c>
    </row>
    <row r="24" spans="1:5" ht="18" x14ac:dyDescent="0.25">
      <c r="A24" t="s">
        <v>42</v>
      </c>
      <c r="B24">
        <v>2</v>
      </c>
      <c r="C24">
        <v>28.012</v>
      </c>
      <c r="D24">
        <f>D5</f>
        <v>2</v>
      </c>
      <c r="E24" s="9">
        <f t="shared" si="3"/>
        <v>112.048</v>
      </c>
    </row>
    <row r="25" spans="1:5" ht="18" x14ac:dyDescent="0.25">
      <c r="A25" t="s">
        <v>43</v>
      </c>
      <c r="B25">
        <v>1</v>
      </c>
      <c r="C25">
        <v>28.012</v>
      </c>
      <c r="D25">
        <f>D6</f>
        <v>1.5</v>
      </c>
      <c r="E25" s="9">
        <f t="shared" si="3"/>
        <v>42.018000000000001</v>
      </c>
    </row>
    <row r="26" spans="1:5" ht="18" x14ac:dyDescent="0.25">
      <c r="A26" t="s">
        <v>44</v>
      </c>
      <c r="B26">
        <v>1</v>
      </c>
      <c r="C26">
        <v>39.094299999999997</v>
      </c>
      <c r="D26">
        <f>D10</f>
        <v>0</v>
      </c>
      <c r="E26" s="9">
        <v>0</v>
      </c>
    </row>
    <row r="27" spans="1:5" ht="18" x14ac:dyDescent="0.25">
      <c r="A27" t="s">
        <v>45</v>
      </c>
      <c r="B27">
        <v>1</v>
      </c>
      <c r="C27">
        <v>30.973700000000001</v>
      </c>
      <c r="D27">
        <f>D10</f>
        <v>0</v>
      </c>
      <c r="E27" s="9">
        <v>0</v>
      </c>
    </row>
    <row r="28" spans="1:5" x14ac:dyDescent="0.2">
      <c r="A28" t="s">
        <v>46</v>
      </c>
      <c r="B28">
        <v>1</v>
      </c>
      <c r="C28">
        <v>39.094299999999997</v>
      </c>
      <c r="D28">
        <f>D11</f>
        <v>0</v>
      </c>
      <c r="E28" s="9">
        <v>0</v>
      </c>
    </row>
    <row r="29" spans="1:5" x14ac:dyDescent="0.2">
      <c r="A29" t="s">
        <v>47</v>
      </c>
      <c r="B29">
        <v>1</v>
      </c>
      <c r="C29">
        <v>35.453000000000003</v>
      </c>
      <c r="D29">
        <f>D11</f>
        <v>0</v>
      </c>
      <c r="E29" s="9">
        <v>0</v>
      </c>
    </row>
    <row r="30" spans="1:5" ht="18" x14ac:dyDescent="0.25">
      <c r="A30" t="s">
        <v>48</v>
      </c>
      <c r="B30">
        <v>1</v>
      </c>
      <c r="C30">
        <v>40.078000000000003</v>
      </c>
      <c r="D30">
        <f>D12</f>
        <v>0</v>
      </c>
      <c r="E30" s="9">
        <v>0</v>
      </c>
    </row>
    <row r="31" spans="1:5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ref="E31:E32" si="4">(C31*1000)/(1000/(B31*D31))</f>
        <v>48.61</v>
      </c>
    </row>
    <row r="32" spans="1:5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4"/>
        <v>64.13</v>
      </c>
    </row>
    <row r="33" spans="1:5" ht="17" thickBot="1" x14ac:dyDescent="0.25">
      <c r="E33" s="9"/>
    </row>
    <row r="34" spans="1:5" x14ac:dyDescent="0.2">
      <c r="A34" s="8" t="s">
        <v>51</v>
      </c>
      <c r="D34" s="11" t="s">
        <v>59</v>
      </c>
      <c r="E34" s="12"/>
    </row>
    <row r="35" spans="1:5" ht="17" customHeight="1" thickBot="1" x14ac:dyDescent="0.25">
      <c r="A35" t="s">
        <v>52</v>
      </c>
      <c r="B35" t="s">
        <v>23</v>
      </c>
      <c r="D35" s="13" t="s">
        <v>60</v>
      </c>
      <c r="E35" s="14" t="s">
        <v>23</v>
      </c>
    </row>
    <row r="36" spans="1:5" x14ac:dyDescent="0.2">
      <c r="A36" t="s">
        <v>53</v>
      </c>
      <c r="B36" s="9">
        <f>SUM(E19,E22,E24,E25)</f>
        <v>210.09</v>
      </c>
      <c r="D36" s="15" t="s">
        <v>53</v>
      </c>
      <c r="E36" s="16">
        <v>210.09</v>
      </c>
    </row>
    <row r="37" spans="1:5" x14ac:dyDescent="0.2">
      <c r="A37" t="s">
        <v>54</v>
      </c>
      <c r="B37" s="9">
        <f>SUM(E20,E27)</f>
        <v>0</v>
      </c>
      <c r="D37" s="10" t="s">
        <v>54</v>
      </c>
      <c r="E37" s="17">
        <v>30.973700000000001</v>
      </c>
    </row>
    <row r="38" spans="1:5" x14ac:dyDescent="0.2">
      <c r="A38" t="s">
        <v>55</v>
      </c>
      <c r="B38" s="9">
        <f>SUM(E21,E26,E28)</f>
        <v>156.37719999999999</v>
      </c>
      <c r="D38" s="10" t="s">
        <v>55</v>
      </c>
      <c r="E38" s="17">
        <v>156.37719999999999</v>
      </c>
    </row>
    <row r="39" spans="1:5" x14ac:dyDescent="0.2">
      <c r="A39" t="s">
        <v>56</v>
      </c>
      <c r="B39" s="9">
        <f>E30+E23</f>
        <v>160.31200000000001</v>
      </c>
      <c r="D39" s="10" t="s">
        <v>56</v>
      </c>
      <c r="E39" s="17">
        <v>160.31200000000001</v>
      </c>
    </row>
    <row r="40" spans="1:5" x14ac:dyDescent="0.2">
      <c r="A40" t="s">
        <v>57</v>
      </c>
      <c r="B40" s="9">
        <f>E31</f>
        <v>48.61</v>
      </c>
      <c r="D40" s="10" t="s">
        <v>57</v>
      </c>
      <c r="E40" s="17">
        <v>48.61</v>
      </c>
    </row>
    <row r="41" spans="1:5" x14ac:dyDescent="0.2">
      <c r="A41" t="s">
        <v>58</v>
      </c>
      <c r="B41" s="9">
        <f>E32</f>
        <v>64.13</v>
      </c>
      <c r="D41" s="10" t="s">
        <v>58</v>
      </c>
      <c r="E41" s="17">
        <v>64.13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36DE-12C0-BC4C-B963-A9701A317B59}">
  <dimension ref="A1:F41"/>
  <sheetViews>
    <sheetView zoomScale="170" zoomScaleNormal="170" workbookViewId="0">
      <selection activeCell="G16" sqref="G16"/>
    </sheetView>
  </sheetViews>
  <sheetFormatPr baseColWidth="10" defaultRowHeight="16" x14ac:dyDescent="0.2"/>
  <cols>
    <col min="1" max="1" width="30.6640625" bestFit="1" customWidth="1"/>
  </cols>
  <sheetData>
    <row r="1" spans="1:6" x14ac:dyDescent="0.2">
      <c r="A1" s="8" t="s">
        <v>18</v>
      </c>
      <c r="B1" s="8"/>
    </row>
    <row r="2" spans="1:6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6" ht="18" x14ac:dyDescent="0.25">
      <c r="A3" t="s">
        <v>24</v>
      </c>
      <c r="B3">
        <v>1</v>
      </c>
      <c r="C3">
        <v>115.3</v>
      </c>
      <c r="D3">
        <v>0.25</v>
      </c>
      <c r="E3" s="9">
        <v>0</v>
      </c>
      <c r="F3">
        <f>D3*20</f>
        <v>5</v>
      </c>
    </row>
    <row r="4" spans="1:6" ht="18" x14ac:dyDescent="0.25">
      <c r="A4" t="s">
        <v>25</v>
      </c>
      <c r="B4">
        <v>2</v>
      </c>
      <c r="C4">
        <v>101.1</v>
      </c>
      <c r="D4">
        <v>2</v>
      </c>
      <c r="E4" s="9">
        <f t="shared" ref="E4:E5" si="0">(C4*1000)/(1000/(B4*D4))</f>
        <v>404.4</v>
      </c>
      <c r="F4">
        <f t="shared" ref="F4:F15" si="1">D4*20</f>
        <v>40</v>
      </c>
    </row>
    <row r="5" spans="1:6" ht="18" x14ac:dyDescent="0.25">
      <c r="A5" t="s">
        <v>26</v>
      </c>
      <c r="B5">
        <v>2</v>
      </c>
      <c r="C5">
        <v>164.08799999999999</v>
      </c>
      <c r="D5">
        <v>2</v>
      </c>
      <c r="E5" s="9">
        <f t="shared" si="0"/>
        <v>656.35199999999998</v>
      </c>
      <c r="F5">
        <f t="shared" si="1"/>
        <v>40</v>
      </c>
    </row>
    <row r="6" spans="1:6" ht="18" x14ac:dyDescent="0.25">
      <c r="A6" t="s">
        <v>27</v>
      </c>
      <c r="B6">
        <v>1</v>
      </c>
      <c r="C6">
        <v>80.043000000000006</v>
      </c>
      <c r="D6">
        <v>1.38</v>
      </c>
      <c r="E6" s="9">
        <f>(C6*1000)/(1000/(B6*D6))</f>
        <v>110.45933999999998</v>
      </c>
      <c r="F6">
        <f t="shared" si="1"/>
        <v>27.599999999999998</v>
      </c>
    </row>
    <row r="7" spans="1:6" x14ac:dyDescent="0.2">
      <c r="F7">
        <f t="shared" si="1"/>
        <v>0</v>
      </c>
    </row>
    <row r="8" spans="1:6" x14ac:dyDescent="0.2">
      <c r="A8" s="8" t="s">
        <v>28</v>
      </c>
      <c r="F8">
        <f t="shared" si="1"/>
        <v>0</v>
      </c>
    </row>
    <row r="9" spans="1:6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e">
        <f t="shared" si="1"/>
        <v>#VALUE!</v>
      </c>
    </row>
    <row r="10" spans="1:6" ht="18" x14ac:dyDescent="0.25">
      <c r="A10" t="s">
        <v>29</v>
      </c>
      <c r="B10">
        <v>1</v>
      </c>
      <c r="C10">
        <v>136.08600000000001</v>
      </c>
      <c r="D10">
        <v>0</v>
      </c>
      <c r="E10" s="9">
        <v>0</v>
      </c>
      <c r="F10">
        <f t="shared" si="1"/>
        <v>0</v>
      </c>
    </row>
    <row r="11" spans="1:6" x14ac:dyDescent="0.2">
      <c r="A11" t="s">
        <v>30</v>
      </c>
      <c r="B11">
        <v>1</v>
      </c>
      <c r="C11">
        <v>74.555000000000007</v>
      </c>
      <c r="D11">
        <v>0</v>
      </c>
      <c r="E11" s="9">
        <v>0</v>
      </c>
      <c r="F11">
        <f t="shared" si="1"/>
        <v>0</v>
      </c>
    </row>
    <row r="12" spans="1:6" ht="18" x14ac:dyDescent="0.25">
      <c r="A12" t="s">
        <v>31</v>
      </c>
      <c r="B12">
        <v>1</v>
      </c>
      <c r="C12">
        <v>100.087</v>
      </c>
      <c r="D12">
        <v>0</v>
      </c>
      <c r="E12" s="9">
        <v>0</v>
      </c>
      <c r="F12">
        <f t="shared" si="1"/>
        <v>0</v>
      </c>
    </row>
    <row r="13" spans="1:6" ht="18" x14ac:dyDescent="0.25">
      <c r="A13" t="s">
        <v>32</v>
      </c>
      <c r="B13">
        <v>2</v>
      </c>
      <c r="C13">
        <v>246.48</v>
      </c>
      <c r="D13">
        <v>1</v>
      </c>
      <c r="E13" s="9">
        <f t="shared" ref="E13:E15" si="2">(C13*1000)/(1000/(B13*D13))</f>
        <v>492.96</v>
      </c>
      <c r="F13">
        <f t="shared" si="1"/>
        <v>20</v>
      </c>
    </row>
    <row r="14" spans="1:6" x14ac:dyDescent="0.2">
      <c r="A14" t="s">
        <v>33</v>
      </c>
      <c r="B14">
        <v>1</v>
      </c>
      <c r="D14">
        <v>1</v>
      </c>
      <c r="E14" s="9"/>
      <c r="F14">
        <f t="shared" si="1"/>
        <v>20</v>
      </c>
    </row>
    <row r="15" spans="1:6" x14ac:dyDescent="0.2">
      <c r="A15" t="s">
        <v>34</v>
      </c>
      <c r="B15">
        <v>1</v>
      </c>
      <c r="D15">
        <v>1</v>
      </c>
      <c r="E15" s="9">
        <f t="shared" si="2"/>
        <v>0</v>
      </c>
      <c r="F15">
        <f t="shared" si="1"/>
        <v>20</v>
      </c>
    </row>
    <row r="17" spans="1:5" x14ac:dyDescent="0.2">
      <c r="A17" s="8" t="s">
        <v>35</v>
      </c>
    </row>
    <row r="18" spans="1:5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</row>
    <row r="19" spans="1:5" ht="18" x14ac:dyDescent="0.25">
      <c r="A19" t="s">
        <v>37</v>
      </c>
      <c r="B19">
        <v>1</v>
      </c>
      <c r="C19">
        <v>14.006</v>
      </c>
      <c r="D19">
        <f>D3</f>
        <v>0.25</v>
      </c>
      <c r="E19" s="9">
        <f t="shared" ref="E19:E25" si="3">(C19*1000)/(1000/(B19*D19))</f>
        <v>3.5015000000000001</v>
      </c>
    </row>
    <row r="20" spans="1:5" ht="18" x14ac:dyDescent="0.25">
      <c r="A20" t="s">
        <v>38</v>
      </c>
      <c r="B20">
        <v>1</v>
      </c>
      <c r="C20">
        <v>30.973700000000001</v>
      </c>
      <c r="D20">
        <f>D3</f>
        <v>0.25</v>
      </c>
      <c r="E20" s="9">
        <f t="shared" si="3"/>
        <v>7.7434250000000002</v>
      </c>
    </row>
    <row r="21" spans="1:5" ht="18" x14ac:dyDescent="0.25">
      <c r="A21" t="s">
        <v>39</v>
      </c>
      <c r="B21">
        <v>2</v>
      </c>
      <c r="C21">
        <v>39.094299999999997</v>
      </c>
      <c r="D21">
        <f>D4</f>
        <v>2</v>
      </c>
      <c r="E21" s="9">
        <f t="shared" si="3"/>
        <v>156.37719999999999</v>
      </c>
    </row>
    <row r="22" spans="1:5" ht="18" x14ac:dyDescent="0.25">
      <c r="A22" t="s">
        <v>40</v>
      </c>
      <c r="B22">
        <v>2</v>
      </c>
      <c r="C22">
        <v>14.006</v>
      </c>
      <c r="D22">
        <f>D4</f>
        <v>2</v>
      </c>
      <c r="E22" s="9">
        <f t="shared" si="3"/>
        <v>56.024000000000001</v>
      </c>
    </row>
    <row r="23" spans="1:5" ht="18" x14ac:dyDescent="0.25">
      <c r="A23" t="s">
        <v>41</v>
      </c>
      <c r="B23">
        <v>2</v>
      </c>
      <c r="C23">
        <v>40.078000000000003</v>
      </c>
      <c r="D23">
        <f>D5</f>
        <v>2</v>
      </c>
      <c r="E23" s="9">
        <f t="shared" si="3"/>
        <v>160.31200000000001</v>
      </c>
    </row>
    <row r="24" spans="1:5" ht="18" x14ac:dyDescent="0.25">
      <c r="A24" t="s">
        <v>42</v>
      </c>
      <c r="B24">
        <v>2</v>
      </c>
      <c r="C24">
        <v>28.012</v>
      </c>
      <c r="D24">
        <f>D5</f>
        <v>2</v>
      </c>
      <c r="E24" s="9">
        <f t="shared" si="3"/>
        <v>112.048</v>
      </c>
    </row>
    <row r="25" spans="1:5" ht="18" x14ac:dyDescent="0.25">
      <c r="A25" t="s">
        <v>43</v>
      </c>
      <c r="B25">
        <v>1</v>
      </c>
      <c r="C25">
        <v>28.012</v>
      </c>
      <c r="D25">
        <f>D6</f>
        <v>1.38</v>
      </c>
      <c r="E25" s="9">
        <f t="shared" si="3"/>
        <v>38.656559999999999</v>
      </c>
    </row>
    <row r="26" spans="1:5" ht="18" x14ac:dyDescent="0.25">
      <c r="A26" t="s">
        <v>44</v>
      </c>
      <c r="B26">
        <v>1</v>
      </c>
      <c r="C26">
        <v>39.094299999999997</v>
      </c>
      <c r="D26">
        <f>D10</f>
        <v>0</v>
      </c>
      <c r="E26" s="9">
        <v>0</v>
      </c>
    </row>
    <row r="27" spans="1:5" ht="18" x14ac:dyDescent="0.25">
      <c r="A27" t="s">
        <v>45</v>
      </c>
      <c r="B27">
        <v>1</v>
      </c>
      <c r="C27">
        <v>30.973700000000001</v>
      </c>
      <c r="D27">
        <f>D10</f>
        <v>0</v>
      </c>
      <c r="E27" s="9">
        <v>0</v>
      </c>
    </row>
    <row r="28" spans="1:5" x14ac:dyDescent="0.2">
      <c r="A28" t="s">
        <v>46</v>
      </c>
      <c r="B28">
        <v>1</v>
      </c>
      <c r="C28">
        <v>39.094299999999997</v>
      </c>
      <c r="D28">
        <f>D11</f>
        <v>0</v>
      </c>
      <c r="E28" s="9">
        <v>0</v>
      </c>
    </row>
    <row r="29" spans="1:5" x14ac:dyDescent="0.2">
      <c r="A29" t="s">
        <v>47</v>
      </c>
      <c r="B29">
        <v>1</v>
      </c>
      <c r="C29">
        <v>35.453000000000003</v>
      </c>
      <c r="D29">
        <f>D11</f>
        <v>0</v>
      </c>
      <c r="E29" s="9">
        <v>0</v>
      </c>
    </row>
    <row r="30" spans="1:5" ht="18" x14ac:dyDescent="0.25">
      <c r="A30" t="s">
        <v>48</v>
      </c>
      <c r="B30">
        <v>1</v>
      </c>
      <c r="C30">
        <v>40.078000000000003</v>
      </c>
      <c r="D30">
        <f>D12</f>
        <v>0</v>
      </c>
      <c r="E30" s="9">
        <v>0</v>
      </c>
    </row>
    <row r="31" spans="1:5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ref="E31:E32" si="4">(C31*1000)/(1000/(B31*D31))</f>
        <v>48.61</v>
      </c>
    </row>
    <row r="32" spans="1:5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4"/>
        <v>64.13</v>
      </c>
    </row>
    <row r="33" spans="1:5" ht="17" thickBot="1" x14ac:dyDescent="0.25">
      <c r="E33" s="9"/>
    </row>
    <row r="34" spans="1:5" x14ac:dyDescent="0.2">
      <c r="A34" s="8" t="s">
        <v>51</v>
      </c>
      <c r="C34" s="11" t="s">
        <v>59</v>
      </c>
      <c r="D34" s="12"/>
      <c r="E34" s="9"/>
    </row>
    <row r="35" spans="1:5" ht="17" thickBot="1" x14ac:dyDescent="0.25">
      <c r="A35" t="s">
        <v>52</v>
      </c>
      <c r="B35" t="s">
        <v>23</v>
      </c>
      <c r="C35" s="13" t="s">
        <v>60</v>
      </c>
      <c r="D35" s="14" t="s">
        <v>23</v>
      </c>
    </row>
    <row r="36" spans="1:5" x14ac:dyDescent="0.2">
      <c r="A36" t="s">
        <v>53</v>
      </c>
      <c r="B36" s="9">
        <f>SUM(E19,E22,E24,E25)</f>
        <v>210.23005999999998</v>
      </c>
      <c r="C36" s="15" t="s">
        <v>53</v>
      </c>
      <c r="D36" s="16">
        <v>210.09</v>
      </c>
    </row>
    <row r="37" spans="1:5" x14ac:dyDescent="0.2">
      <c r="A37" t="s">
        <v>54</v>
      </c>
      <c r="B37" s="9">
        <f>SUM(E20,E27)</f>
        <v>7.7434250000000002</v>
      </c>
      <c r="C37" s="10" t="s">
        <v>54</v>
      </c>
      <c r="D37" s="17">
        <v>30.973700000000001</v>
      </c>
    </row>
    <row r="38" spans="1:5" x14ac:dyDescent="0.2">
      <c r="A38" t="s">
        <v>55</v>
      </c>
      <c r="B38" s="9">
        <f>SUM(E21,E26,E28)</f>
        <v>156.37719999999999</v>
      </c>
      <c r="C38" s="10" t="s">
        <v>55</v>
      </c>
      <c r="D38" s="17">
        <v>156.37719999999999</v>
      </c>
    </row>
    <row r="39" spans="1:5" x14ac:dyDescent="0.2">
      <c r="A39" t="s">
        <v>56</v>
      </c>
      <c r="B39" s="9">
        <f>E30+E23</f>
        <v>160.31200000000001</v>
      </c>
      <c r="C39" s="10" t="s">
        <v>56</v>
      </c>
      <c r="D39" s="17">
        <v>160.31200000000001</v>
      </c>
    </row>
    <row r="40" spans="1:5" x14ac:dyDescent="0.2">
      <c r="A40" t="s">
        <v>57</v>
      </c>
      <c r="B40" s="9">
        <f>E31</f>
        <v>48.61</v>
      </c>
      <c r="C40" s="10" t="s">
        <v>57</v>
      </c>
      <c r="D40" s="17">
        <v>48.61</v>
      </c>
    </row>
    <row r="41" spans="1:5" x14ac:dyDescent="0.2">
      <c r="A41" t="s">
        <v>58</v>
      </c>
      <c r="B41" s="9">
        <f>E32</f>
        <v>64.13</v>
      </c>
      <c r="C41" s="10" t="s">
        <v>58</v>
      </c>
      <c r="D41" s="17">
        <v>64.13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0572-E7E9-C149-A071-72B5F47728B3}">
  <dimension ref="A1:F41"/>
  <sheetViews>
    <sheetView zoomScale="211" zoomScaleNormal="211" workbookViewId="0">
      <selection activeCell="B36" sqref="B36"/>
    </sheetView>
  </sheetViews>
  <sheetFormatPr baseColWidth="10" defaultRowHeight="16" x14ac:dyDescent="0.2"/>
  <cols>
    <col min="1" max="1" width="30.6640625" bestFit="1" customWidth="1"/>
  </cols>
  <sheetData>
    <row r="1" spans="1:6" x14ac:dyDescent="0.2">
      <c r="A1" s="8" t="s">
        <v>18</v>
      </c>
      <c r="B1" s="8"/>
    </row>
    <row r="2" spans="1:6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6" ht="18" x14ac:dyDescent="0.25">
      <c r="A3" t="s">
        <v>24</v>
      </c>
      <c r="B3">
        <v>1</v>
      </c>
      <c r="C3">
        <v>115.3</v>
      </c>
      <c r="D3">
        <v>0.5</v>
      </c>
      <c r="E3" s="9">
        <f t="shared" ref="E3:E5" si="0">(C3*1000)/(1000/(B3*D3))</f>
        <v>57.65</v>
      </c>
      <c r="F3">
        <f>D3*20</f>
        <v>10</v>
      </c>
    </row>
    <row r="4" spans="1:6" ht="18" x14ac:dyDescent="0.25">
      <c r="A4" t="s">
        <v>25</v>
      </c>
      <c r="B4">
        <v>2</v>
      </c>
      <c r="C4">
        <v>101.1</v>
      </c>
      <c r="D4">
        <v>2</v>
      </c>
      <c r="E4" s="9">
        <f t="shared" si="0"/>
        <v>404.4</v>
      </c>
      <c r="F4">
        <f t="shared" ref="F4:F15" si="1">D4*20</f>
        <v>40</v>
      </c>
    </row>
    <row r="5" spans="1:6" ht="18" x14ac:dyDescent="0.25">
      <c r="A5" t="s">
        <v>26</v>
      </c>
      <c r="B5">
        <v>2</v>
      </c>
      <c r="C5">
        <v>164.08799999999999</v>
      </c>
      <c r="D5">
        <v>2</v>
      </c>
      <c r="E5" s="9">
        <f t="shared" si="0"/>
        <v>656.35199999999998</v>
      </c>
      <c r="F5">
        <f t="shared" si="1"/>
        <v>40</v>
      </c>
    </row>
    <row r="6" spans="1:6" ht="18" x14ac:dyDescent="0.25">
      <c r="A6" t="s">
        <v>27</v>
      </c>
      <c r="B6">
        <v>1</v>
      </c>
      <c r="C6">
        <v>80.043000000000006</v>
      </c>
      <c r="D6">
        <v>1.25</v>
      </c>
      <c r="E6" s="9">
        <f>(C6*1000)/(1000/(B6*D6))</f>
        <v>100.05374999999999</v>
      </c>
      <c r="F6">
        <f t="shared" si="1"/>
        <v>25</v>
      </c>
    </row>
    <row r="7" spans="1:6" x14ac:dyDescent="0.2">
      <c r="F7">
        <f t="shared" si="1"/>
        <v>0</v>
      </c>
    </row>
    <row r="8" spans="1:6" x14ac:dyDescent="0.2">
      <c r="A8" s="8" t="s">
        <v>28</v>
      </c>
      <c r="F8">
        <f t="shared" si="1"/>
        <v>0</v>
      </c>
    </row>
    <row r="9" spans="1:6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e">
        <f t="shared" si="1"/>
        <v>#VALUE!</v>
      </c>
    </row>
    <row r="10" spans="1:6" ht="18" x14ac:dyDescent="0.25">
      <c r="A10" t="s">
        <v>29</v>
      </c>
      <c r="B10">
        <v>1</v>
      </c>
      <c r="C10">
        <v>136.08600000000001</v>
      </c>
      <c r="D10">
        <v>0</v>
      </c>
      <c r="E10" s="9">
        <v>0</v>
      </c>
      <c r="F10">
        <f t="shared" si="1"/>
        <v>0</v>
      </c>
    </row>
    <row r="11" spans="1:6" x14ac:dyDescent="0.2">
      <c r="A11" t="s">
        <v>30</v>
      </c>
      <c r="B11">
        <v>1</v>
      </c>
      <c r="C11">
        <v>74.555000000000007</v>
      </c>
      <c r="D11">
        <v>0</v>
      </c>
      <c r="E11" s="9">
        <v>0</v>
      </c>
      <c r="F11">
        <f t="shared" si="1"/>
        <v>0</v>
      </c>
    </row>
    <row r="12" spans="1:6" ht="18" x14ac:dyDescent="0.25">
      <c r="A12" t="s">
        <v>31</v>
      </c>
      <c r="B12">
        <v>1</v>
      </c>
      <c r="C12">
        <v>100.087</v>
      </c>
      <c r="D12">
        <v>0</v>
      </c>
      <c r="E12" s="9">
        <v>0</v>
      </c>
      <c r="F12">
        <f t="shared" si="1"/>
        <v>0</v>
      </c>
    </row>
    <row r="13" spans="1:6" ht="18" x14ac:dyDescent="0.25">
      <c r="A13" t="s">
        <v>32</v>
      </c>
      <c r="B13">
        <v>2</v>
      </c>
      <c r="C13">
        <v>246.48</v>
      </c>
      <c r="D13">
        <v>1</v>
      </c>
      <c r="E13" s="9">
        <f t="shared" ref="E13:E15" si="2">(C13*1000)/(1000/(B13*D13))</f>
        <v>492.96</v>
      </c>
      <c r="F13">
        <f t="shared" si="1"/>
        <v>20</v>
      </c>
    </row>
    <row r="14" spans="1:6" x14ac:dyDescent="0.2">
      <c r="A14" t="s">
        <v>33</v>
      </c>
      <c r="B14">
        <v>1</v>
      </c>
      <c r="D14">
        <v>1</v>
      </c>
      <c r="E14" s="9"/>
      <c r="F14">
        <f t="shared" si="1"/>
        <v>20</v>
      </c>
    </row>
    <row r="15" spans="1:6" x14ac:dyDescent="0.2">
      <c r="A15" t="s">
        <v>34</v>
      </c>
      <c r="B15">
        <v>1</v>
      </c>
      <c r="D15">
        <v>1</v>
      </c>
      <c r="E15" s="9">
        <f t="shared" si="2"/>
        <v>0</v>
      </c>
      <c r="F15">
        <f t="shared" si="1"/>
        <v>20</v>
      </c>
    </row>
    <row r="17" spans="1:5" x14ac:dyDescent="0.2">
      <c r="A17" s="8" t="s">
        <v>35</v>
      </c>
    </row>
    <row r="18" spans="1:5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</row>
    <row r="19" spans="1:5" ht="18" x14ac:dyDescent="0.25">
      <c r="A19" t="s">
        <v>37</v>
      </c>
      <c r="B19">
        <v>1</v>
      </c>
      <c r="C19">
        <v>14.006</v>
      </c>
      <c r="D19">
        <f>D3</f>
        <v>0.5</v>
      </c>
      <c r="E19" s="9">
        <f t="shared" ref="E19:E25" si="3">(C19*1000)/(1000/(B19*D19))</f>
        <v>7.0030000000000001</v>
      </c>
    </row>
    <row r="20" spans="1:5" ht="18" x14ac:dyDescent="0.25">
      <c r="A20" t="s">
        <v>38</v>
      </c>
      <c r="B20">
        <v>1</v>
      </c>
      <c r="C20">
        <v>30.973700000000001</v>
      </c>
      <c r="D20">
        <f>D3</f>
        <v>0.5</v>
      </c>
      <c r="E20" s="9">
        <f t="shared" si="3"/>
        <v>15.48685</v>
      </c>
    </row>
    <row r="21" spans="1:5" ht="18" x14ac:dyDescent="0.25">
      <c r="A21" t="s">
        <v>39</v>
      </c>
      <c r="B21">
        <v>2</v>
      </c>
      <c r="C21">
        <v>39.094299999999997</v>
      </c>
      <c r="D21">
        <f>D4</f>
        <v>2</v>
      </c>
      <c r="E21" s="9">
        <f t="shared" si="3"/>
        <v>156.37719999999999</v>
      </c>
    </row>
    <row r="22" spans="1:5" ht="18" x14ac:dyDescent="0.25">
      <c r="A22" t="s">
        <v>40</v>
      </c>
      <c r="B22">
        <v>2</v>
      </c>
      <c r="C22">
        <v>14.006</v>
      </c>
      <c r="D22">
        <f>D4</f>
        <v>2</v>
      </c>
      <c r="E22" s="9">
        <f t="shared" si="3"/>
        <v>56.024000000000001</v>
      </c>
    </row>
    <row r="23" spans="1:5" ht="18" x14ac:dyDescent="0.25">
      <c r="A23" t="s">
        <v>41</v>
      </c>
      <c r="B23">
        <v>2</v>
      </c>
      <c r="C23">
        <v>40.078000000000003</v>
      </c>
      <c r="D23">
        <f>D5</f>
        <v>2</v>
      </c>
      <c r="E23" s="9">
        <f t="shared" si="3"/>
        <v>160.31200000000001</v>
      </c>
    </row>
    <row r="24" spans="1:5" ht="18" x14ac:dyDescent="0.25">
      <c r="A24" t="s">
        <v>42</v>
      </c>
      <c r="B24">
        <v>2</v>
      </c>
      <c r="C24">
        <v>28.012</v>
      </c>
      <c r="D24">
        <f>D5</f>
        <v>2</v>
      </c>
      <c r="E24" s="9">
        <f t="shared" si="3"/>
        <v>112.048</v>
      </c>
    </row>
    <row r="25" spans="1:5" ht="18" x14ac:dyDescent="0.25">
      <c r="A25" t="s">
        <v>43</v>
      </c>
      <c r="B25">
        <v>1</v>
      </c>
      <c r="C25">
        <v>28.012</v>
      </c>
      <c r="D25">
        <f>D6</f>
        <v>1.25</v>
      </c>
      <c r="E25" s="9">
        <f t="shared" si="3"/>
        <v>35.015000000000001</v>
      </c>
    </row>
    <row r="26" spans="1:5" ht="18" x14ac:dyDescent="0.25">
      <c r="A26" t="s">
        <v>44</v>
      </c>
      <c r="B26">
        <v>1</v>
      </c>
      <c r="C26">
        <v>39.094299999999997</v>
      </c>
      <c r="D26">
        <f>D10</f>
        <v>0</v>
      </c>
      <c r="E26" s="9">
        <v>0</v>
      </c>
    </row>
    <row r="27" spans="1:5" ht="18" x14ac:dyDescent="0.25">
      <c r="A27" t="s">
        <v>45</v>
      </c>
      <c r="B27">
        <v>1</v>
      </c>
      <c r="C27">
        <v>30.973700000000001</v>
      </c>
      <c r="D27">
        <f>D10</f>
        <v>0</v>
      </c>
      <c r="E27" s="9">
        <v>0</v>
      </c>
    </row>
    <row r="28" spans="1:5" x14ac:dyDescent="0.2">
      <c r="A28" t="s">
        <v>46</v>
      </c>
      <c r="B28">
        <v>1</v>
      </c>
      <c r="C28">
        <v>39.094299999999997</v>
      </c>
      <c r="D28">
        <f>D11</f>
        <v>0</v>
      </c>
      <c r="E28" s="9">
        <v>0</v>
      </c>
    </row>
    <row r="29" spans="1:5" x14ac:dyDescent="0.2">
      <c r="A29" t="s">
        <v>47</v>
      </c>
      <c r="B29">
        <v>1</v>
      </c>
      <c r="C29">
        <v>35.453000000000003</v>
      </c>
      <c r="D29">
        <f>D11</f>
        <v>0</v>
      </c>
      <c r="E29" s="9">
        <v>0</v>
      </c>
    </row>
    <row r="30" spans="1:5" ht="18" x14ac:dyDescent="0.25">
      <c r="A30" t="s">
        <v>48</v>
      </c>
      <c r="B30">
        <v>1</v>
      </c>
      <c r="C30">
        <v>40.078000000000003</v>
      </c>
      <c r="D30">
        <f>D12</f>
        <v>0</v>
      </c>
      <c r="E30" s="9">
        <v>0</v>
      </c>
    </row>
    <row r="31" spans="1:5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ref="E31:E32" si="4">(C31*1000)/(1000/(B31*D31))</f>
        <v>48.61</v>
      </c>
    </row>
    <row r="32" spans="1:5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4"/>
        <v>64.13</v>
      </c>
    </row>
    <row r="33" spans="1:5" ht="17" thickBot="1" x14ac:dyDescent="0.25">
      <c r="E33" s="9"/>
    </row>
    <row r="34" spans="1:5" x14ac:dyDescent="0.2">
      <c r="A34" s="8" t="s">
        <v>51</v>
      </c>
      <c r="C34" s="11" t="s">
        <v>59</v>
      </c>
      <c r="D34" s="12"/>
      <c r="E34" s="9"/>
    </row>
    <row r="35" spans="1:5" ht="17" thickBot="1" x14ac:dyDescent="0.25">
      <c r="A35" t="s">
        <v>52</v>
      </c>
      <c r="B35" t="s">
        <v>23</v>
      </c>
      <c r="C35" s="13" t="s">
        <v>60</v>
      </c>
      <c r="D35" s="14" t="s">
        <v>23</v>
      </c>
    </row>
    <row r="36" spans="1:5" x14ac:dyDescent="0.2">
      <c r="A36" t="s">
        <v>53</v>
      </c>
      <c r="B36" s="9">
        <f>SUM(E19,E22,E24,E25)</f>
        <v>210.08999999999997</v>
      </c>
      <c r="C36" s="15" t="s">
        <v>53</v>
      </c>
      <c r="D36" s="16">
        <v>210.09</v>
      </c>
    </row>
    <row r="37" spans="1:5" x14ac:dyDescent="0.2">
      <c r="A37" t="s">
        <v>54</v>
      </c>
      <c r="B37" s="9">
        <f>SUM(E20,E27)</f>
        <v>15.48685</v>
      </c>
      <c r="C37" s="10" t="s">
        <v>54</v>
      </c>
      <c r="D37" s="17">
        <v>30.973700000000001</v>
      </c>
    </row>
    <row r="38" spans="1:5" x14ac:dyDescent="0.2">
      <c r="A38" t="s">
        <v>55</v>
      </c>
      <c r="B38" s="9">
        <f>SUM(E21,E26,E28)</f>
        <v>156.37719999999999</v>
      </c>
      <c r="C38" s="10" t="s">
        <v>55</v>
      </c>
      <c r="D38" s="17">
        <v>156.37719999999999</v>
      </c>
    </row>
    <row r="39" spans="1:5" x14ac:dyDescent="0.2">
      <c r="A39" t="s">
        <v>56</v>
      </c>
      <c r="B39" s="9">
        <f>E30+E23</f>
        <v>160.31200000000001</v>
      </c>
      <c r="C39" s="10" t="s">
        <v>56</v>
      </c>
      <c r="D39" s="17">
        <v>160.31200000000001</v>
      </c>
    </row>
    <row r="40" spans="1:5" x14ac:dyDescent="0.2">
      <c r="A40" t="s">
        <v>57</v>
      </c>
      <c r="B40" s="9">
        <f>E31</f>
        <v>48.61</v>
      </c>
      <c r="C40" s="10" t="s">
        <v>57</v>
      </c>
      <c r="D40" s="17">
        <v>48.61</v>
      </c>
    </row>
    <row r="41" spans="1:5" x14ac:dyDescent="0.2">
      <c r="A41" t="s">
        <v>58</v>
      </c>
      <c r="B41" s="9">
        <f>E32</f>
        <v>64.13</v>
      </c>
      <c r="C41" s="10" t="s">
        <v>58</v>
      </c>
      <c r="D41" s="17">
        <v>64.13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AD85-1C36-514C-8973-F08DE1511404}">
  <dimension ref="A1:F41"/>
  <sheetViews>
    <sheetView zoomScale="170" zoomScaleNormal="170" workbookViewId="0">
      <selection activeCell="F3" sqref="F3:F20"/>
    </sheetView>
  </sheetViews>
  <sheetFormatPr baseColWidth="10" defaultRowHeight="16" x14ac:dyDescent="0.2"/>
  <cols>
    <col min="1" max="1" width="30.6640625" bestFit="1" customWidth="1"/>
  </cols>
  <sheetData>
    <row r="1" spans="1:6" x14ac:dyDescent="0.2">
      <c r="A1" s="8" t="s">
        <v>18</v>
      </c>
      <c r="B1" s="8"/>
    </row>
    <row r="2" spans="1:6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6" ht="18" x14ac:dyDescent="0.25">
      <c r="A3" t="s">
        <v>24</v>
      </c>
      <c r="B3">
        <v>1</v>
      </c>
      <c r="C3">
        <v>115.3</v>
      </c>
      <c r="D3">
        <v>1</v>
      </c>
      <c r="E3" s="9">
        <f>(C3*1000)/(1000/(B3*D3))</f>
        <v>115.3</v>
      </c>
      <c r="F3">
        <f>D3*20</f>
        <v>20</v>
      </c>
    </row>
    <row r="4" spans="1:6" ht="18" x14ac:dyDescent="0.25">
      <c r="A4" t="s">
        <v>25</v>
      </c>
      <c r="B4">
        <v>2</v>
      </c>
      <c r="C4">
        <v>101.1</v>
      </c>
      <c r="D4">
        <v>2</v>
      </c>
      <c r="E4" s="9">
        <f t="shared" ref="E4:E5" si="0">(C4*1000)/(1000/(B4*D4))</f>
        <v>404.4</v>
      </c>
      <c r="F4">
        <f t="shared" ref="F4:F20" si="1">D4*20</f>
        <v>40</v>
      </c>
    </row>
    <row r="5" spans="1:6" ht="18" x14ac:dyDescent="0.25">
      <c r="A5" t="s">
        <v>26</v>
      </c>
      <c r="B5">
        <v>2</v>
      </c>
      <c r="C5">
        <v>164.08799999999999</v>
      </c>
      <c r="D5">
        <v>2</v>
      </c>
      <c r="E5" s="9">
        <f t="shared" si="0"/>
        <v>656.35199999999998</v>
      </c>
      <c r="F5">
        <f t="shared" si="1"/>
        <v>40</v>
      </c>
    </row>
    <row r="6" spans="1:6" ht="18" x14ac:dyDescent="0.25">
      <c r="A6" t="s">
        <v>27</v>
      </c>
      <c r="B6">
        <v>1</v>
      </c>
      <c r="C6">
        <v>80.043000000000006</v>
      </c>
      <c r="D6">
        <v>1</v>
      </c>
      <c r="E6" s="9">
        <f>(C6*1000)/(1000/(B6*D6))</f>
        <v>80.043000000000006</v>
      </c>
      <c r="F6">
        <f t="shared" si="1"/>
        <v>20</v>
      </c>
    </row>
    <row r="7" spans="1:6" x14ac:dyDescent="0.2">
      <c r="F7">
        <f t="shared" si="1"/>
        <v>0</v>
      </c>
    </row>
    <row r="8" spans="1:6" x14ac:dyDescent="0.2">
      <c r="A8" s="8" t="s">
        <v>28</v>
      </c>
      <c r="F8">
        <f t="shared" si="1"/>
        <v>0</v>
      </c>
    </row>
    <row r="9" spans="1:6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e">
        <f t="shared" si="1"/>
        <v>#VALUE!</v>
      </c>
    </row>
    <row r="10" spans="1:6" ht="18" x14ac:dyDescent="0.25">
      <c r="A10" t="s">
        <v>29</v>
      </c>
      <c r="B10">
        <v>1</v>
      </c>
      <c r="C10">
        <v>136.08600000000001</v>
      </c>
      <c r="D10">
        <v>0</v>
      </c>
      <c r="E10" s="9">
        <v>0</v>
      </c>
      <c r="F10">
        <f t="shared" si="1"/>
        <v>0</v>
      </c>
    </row>
    <row r="11" spans="1:6" x14ac:dyDescent="0.2">
      <c r="A11" t="s">
        <v>30</v>
      </c>
      <c r="B11">
        <v>1</v>
      </c>
      <c r="C11">
        <v>74.555000000000007</v>
      </c>
      <c r="D11">
        <v>0</v>
      </c>
      <c r="E11" s="9">
        <v>0</v>
      </c>
      <c r="F11">
        <f t="shared" si="1"/>
        <v>0</v>
      </c>
    </row>
    <row r="12" spans="1:6" ht="18" x14ac:dyDescent="0.25">
      <c r="A12" t="s">
        <v>31</v>
      </c>
      <c r="B12">
        <v>1</v>
      </c>
      <c r="C12">
        <v>100.087</v>
      </c>
      <c r="D12">
        <v>0</v>
      </c>
      <c r="E12" s="9">
        <v>0</v>
      </c>
      <c r="F12">
        <f t="shared" si="1"/>
        <v>0</v>
      </c>
    </row>
    <row r="13" spans="1:6" ht="18" x14ac:dyDescent="0.25">
      <c r="A13" t="s">
        <v>32</v>
      </c>
      <c r="B13">
        <v>2</v>
      </c>
      <c r="C13">
        <v>246.48</v>
      </c>
      <c r="D13">
        <v>1</v>
      </c>
      <c r="E13" s="9">
        <f t="shared" ref="E13:E15" si="2">(C13*1000)/(1000/(B13*D13))</f>
        <v>492.96</v>
      </c>
      <c r="F13">
        <f t="shared" si="1"/>
        <v>20</v>
      </c>
    </row>
    <row r="14" spans="1:6" x14ac:dyDescent="0.2">
      <c r="A14" t="s">
        <v>33</v>
      </c>
      <c r="B14">
        <v>1</v>
      </c>
      <c r="D14">
        <v>1</v>
      </c>
      <c r="E14" s="9"/>
      <c r="F14">
        <f t="shared" si="1"/>
        <v>20</v>
      </c>
    </row>
    <row r="15" spans="1:6" x14ac:dyDescent="0.2">
      <c r="A15" t="s">
        <v>34</v>
      </c>
      <c r="B15">
        <v>1</v>
      </c>
      <c r="D15">
        <v>1</v>
      </c>
      <c r="E15" s="9">
        <f t="shared" si="2"/>
        <v>0</v>
      </c>
      <c r="F15">
        <f t="shared" si="1"/>
        <v>20</v>
      </c>
    </row>
    <row r="16" spans="1:6" x14ac:dyDescent="0.2">
      <c r="F16">
        <f t="shared" si="1"/>
        <v>0</v>
      </c>
    </row>
    <row r="17" spans="1:6" x14ac:dyDescent="0.2">
      <c r="A17" s="8" t="s">
        <v>35</v>
      </c>
      <c r="F17">
        <f t="shared" si="1"/>
        <v>0</v>
      </c>
    </row>
    <row r="18" spans="1:6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  <c r="F18" t="e">
        <f t="shared" si="1"/>
        <v>#VALUE!</v>
      </c>
    </row>
    <row r="19" spans="1:6" ht="18" x14ac:dyDescent="0.25">
      <c r="A19" t="s">
        <v>37</v>
      </c>
      <c r="B19">
        <v>1</v>
      </c>
      <c r="C19">
        <v>14.006</v>
      </c>
      <c r="D19">
        <f>D3</f>
        <v>1</v>
      </c>
      <c r="E19" s="9">
        <f>(C19*1000)/(1000/(B19*D19))</f>
        <v>14.006</v>
      </c>
      <c r="F19">
        <f t="shared" si="1"/>
        <v>20</v>
      </c>
    </row>
    <row r="20" spans="1:6" ht="18" x14ac:dyDescent="0.25">
      <c r="A20" t="s">
        <v>38</v>
      </c>
      <c r="B20">
        <v>1</v>
      </c>
      <c r="C20">
        <v>30.973700000000001</v>
      </c>
      <c r="D20">
        <f>D3</f>
        <v>1</v>
      </c>
      <c r="E20" s="9">
        <f t="shared" ref="E20:E25" si="3">(C20*1000)/(1000/(B20*D20))</f>
        <v>30.973700000000001</v>
      </c>
      <c r="F20">
        <f t="shared" si="1"/>
        <v>20</v>
      </c>
    </row>
    <row r="21" spans="1:6" ht="18" x14ac:dyDescent="0.25">
      <c r="A21" t="s">
        <v>39</v>
      </c>
      <c r="B21">
        <v>2</v>
      </c>
      <c r="C21">
        <v>39.094299999999997</v>
      </c>
      <c r="D21">
        <f>D4</f>
        <v>2</v>
      </c>
      <c r="E21" s="9">
        <f t="shared" si="3"/>
        <v>156.37719999999999</v>
      </c>
    </row>
    <row r="22" spans="1:6" ht="18" x14ac:dyDescent="0.25">
      <c r="A22" t="s">
        <v>40</v>
      </c>
      <c r="B22">
        <v>2</v>
      </c>
      <c r="C22">
        <v>14.006</v>
      </c>
      <c r="D22">
        <f>D4</f>
        <v>2</v>
      </c>
      <c r="E22" s="9">
        <f t="shared" si="3"/>
        <v>56.024000000000001</v>
      </c>
    </row>
    <row r="23" spans="1:6" ht="18" x14ac:dyDescent="0.25">
      <c r="A23" t="s">
        <v>41</v>
      </c>
      <c r="B23">
        <v>2</v>
      </c>
      <c r="C23">
        <v>40.078000000000003</v>
      </c>
      <c r="D23">
        <f>D5</f>
        <v>2</v>
      </c>
      <c r="E23" s="9">
        <f t="shared" si="3"/>
        <v>160.31200000000001</v>
      </c>
    </row>
    <row r="24" spans="1:6" ht="18" x14ac:dyDescent="0.25">
      <c r="A24" t="s">
        <v>42</v>
      </c>
      <c r="B24">
        <v>2</v>
      </c>
      <c r="C24">
        <v>28.012</v>
      </c>
      <c r="D24">
        <f>D5</f>
        <v>2</v>
      </c>
      <c r="E24" s="9">
        <f t="shared" si="3"/>
        <v>112.048</v>
      </c>
    </row>
    <row r="25" spans="1:6" ht="18" x14ac:dyDescent="0.25">
      <c r="A25" t="s">
        <v>43</v>
      </c>
      <c r="B25">
        <v>1</v>
      </c>
      <c r="C25">
        <v>28.012</v>
      </c>
      <c r="D25">
        <f>D6</f>
        <v>1</v>
      </c>
      <c r="E25" s="9">
        <f t="shared" si="3"/>
        <v>28.012</v>
      </c>
    </row>
    <row r="26" spans="1:6" ht="18" x14ac:dyDescent="0.25">
      <c r="A26" t="s">
        <v>44</v>
      </c>
      <c r="B26">
        <v>1</v>
      </c>
      <c r="C26">
        <v>39.094299999999997</v>
      </c>
      <c r="D26">
        <f>D10</f>
        <v>0</v>
      </c>
      <c r="E26" s="9">
        <v>0</v>
      </c>
    </row>
    <row r="27" spans="1:6" ht="18" x14ac:dyDescent="0.25">
      <c r="A27" t="s">
        <v>45</v>
      </c>
      <c r="B27">
        <v>1</v>
      </c>
      <c r="C27">
        <v>30.973700000000001</v>
      </c>
      <c r="D27">
        <f>D10</f>
        <v>0</v>
      </c>
      <c r="E27" s="9">
        <v>0</v>
      </c>
    </row>
    <row r="28" spans="1:6" x14ac:dyDescent="0.2">
      <c r="A28" t="s">
        <v>46</v>
      </c>
      <c r="B28">
        <v>1</v>
      </c>
      <c r="C28">
        <v>39.094299999999997</v>
      </c>
      <c r="D28">
        <f>D11</f>
        <v>0</v>
      </c>
      <c r="E28" s="9">
        <v>0</v>
      </c>
    </row>
    <row r="29" spans="1:6" x14ac:dyDescent="0.2">
      <c r="A29" t="s">
        <v>47</v>
      </c>
      <c r="B29">
        <v>1</v>
      </c>
      <c r="C29">
        <v>35.453000000000003</v>
      </c>
      <c r="D29">
        <f>D11</f>
        <v>0</v>
      </c>
      <c r="E29" s="9">
        <v>0</v>
      </c>
    </row>
    <row r="30" spans="1:6" ht="18" x14ac:dyDescent="0.25">
      <c r="A30" t="s">
        <v>48</v>
      </c>
      <c r="B30">
        <v>1</v>
      </c>
      <c r="C30">
        <v>40.078000000000003</v>
      </c>
      <c r="D30">
        <f>D12</f>
        <v>0</v>
      </c>
      <c r="E30" s="9">
        <v>0</v>
      </c>
    </row>
    <row r="31" spans="1:6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ref="E31:E32" si="4">(C31*1000)/(1000/(B31*D31))</f>
        <v>48.61</v>
      </c>
    </row>
    <row r="32" spans="1:6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4"/>
        <v>64.13</v>
      </c>
    </row>
    <row r="33" spans="1:5" ht="17" thickBot="1" x14ac:dyDescent="0.25">
      <c r="E33" s="9"/>
    </row>
    <row r="34" spans="1:5" x14ac:dyDescent="0.2">
      <c r="A34" s="8" t="s">
        <v>51</v>
      </c>
      <c r="C34" s="11" t="s">
        <v>59</v>
      </c>
      <c r="D34" s="12"/>
      <c r="E34" s="9"/>
    </row>
    <row r="35" spans="1:5" ht="17" thickBot="1" x14ac:dyDescent="0.25">
      <c r="A35" t="s">
        <v>52</v>
      </c>
      <c r="B35" t="s">
        <v>23</v>
      </c>
      <c r="C35" s="13" t="s">
        <v>60</v>
      </c>
      <c r="D35" s="14" t="s">
        <v>23</v>
      </c>
    </row>
    <row r="36" spans="1:5" x14ac:dyDescent="0.2">
      <c r="A36" t="s">
        <v>53</v>
      </c>
      <c r="B36" s="9">
        <f>SUM(E19,E22,E24,E25)</f>
        <v>210.09</v>
      </c>
      <c r="C36" s="15" t="s">
        <v>53</v>
      </c>
      <c r="D36" s="16">
        <v>210.09</v>
      </c>
    </row>
    <row r="37" spans="1:5" x14ac:dyDescent="0.2">
      <c r="A37" t="s">
        <v>54</v>
      </c>
      <c r="B37" s="9">
        <f>SUM(E20,E27)</f>
        <v>30.973700000000001</v>
      </c>
      <c r="C37" s="10" t="s">
        <v>54</v>
      </c>
      <c r="D37" s="17">
        <v>30.973700000000001</v>
      </c>
    </row>
    <row r="38" spans="1:5" x14ac:dyDescent="0.2">
      <c r="A38" t="s">
        <v>55</v>
      </c>
      <c r="B38" s="9">
        <f>SUM(E21,E26,E28)</f>
        <v>156.37719999999999</v>
      </c>
      <c r="C38" s="10" t="s">
        <v>55</v>
      </c>
      <c r="D38" s="17">
        <v>156.37719999999999</v>
      </c>
    </row>
    <row r="39" spans="1:5" x14ac:dyDescent="0.2">
      <c r="A39" t="s">
        <v>56</v>
      </c>
      <c r="B39" s="9">
        <f>E30+E23</f>
        <v>160.31200000000001</v>
      </c>
      <c r="C39" s="10" t="s">
        <v>56</v>
      </c>
      <c r="D39" s="17">
        <v>160.31200000000001</v>
      </c>
    </row>
    <row r="40" spans="1:5" x14ac:dyDescent="0.2">
      <c r="A40" t="s">
        <v>57</v>
      </c>
      <c r="B40" s="9">
        <f>E31</f>
        <v>48.61</v>
      </c>
      <c r="C40" s="10" t="s">
        <v>57</v>
      </c>
      <c r="D40" s="17">
        <v>48.61</v>
      </c>
    </row>
    <row r="41" spans="1:5" x14ac:dyDescent="0.2">
      <c r="A41" t="s">
        <v>58</v>
      </c>
      <c r="B41" s="9">
        <f>E32</f>
        <v>64.13</v>
      </c>
      <c r="C41" s="10" t="s">
        <v>58</v>
      </c>
      <c r="D41" s="17">
        <v>64.13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62CA-CBA6-4F4B-B6C7-FFC0A474BA45}">
  <dimension ref="A1:F41"/>
  <sheetViews>
    <sheetView zoomScale="190" zoomScaleNormal="190" workbookViewId="0">
      <selection activeCell="G16" sqref="G16"/>
    </sheetView>
  </sheetViews>
  <sheetFormatPr baseColWidth="10" defaultRowHeight="16" x14ac:dyDescent="0.2"/>
  <cols>
    <col min="1" max="1" width="30.6640625" bestFit="1" customWidth="1"/>
  </cols>
  <sheetData>
    <row r="1" spans="1:6" x14ac:dyDescent="0.2">
      <c r="A1" s="8" t="s">
        <v>18</v>
      </c>
      <c r="B1" s="8"/>
    </row>
    <row r="2" spans="1:6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6" ht="18" x14ac:dyDescent="0.25">
      <c r="A3" t="s">
        <v>24</v>
      </c>
      <c r="B3">
        <v>1</v>
      </c>
      <c r="C3">
        <v>115.3</v>
      </c>
      <c r="D3">
        <v>2</v>
      </c>
      <c r="E3" s="9">
        <f>(C3*1000)/(1000/(B3*D3))</f>
        <v>230.6</v>
      </c>
      <c r="F3">
        <f>D3*2</f>
        <v>4</v>
      </c>
    </row>
    <row r="4" spans="1:6" ht="18" x14ac:dyDescent="0.25">
      <c r="A4" t="s">
        <v>25</v>
      </c>
      <c r="B4">
        <v>2</v>
      </c>
      <c r="C4">
        <v>101.1</v>
      </c>
      <c r="D4">
        <v>2</v>
      </c>
      <c r="E4" s="9">
        <f t="shared" ref="E4:E5" si="0">(C4*1000)/(1000/(B4*D4))</f>
        <v>404.4</v>
      </c>
      <c r="F4">
        <f t="shared" ref="F4:F15" si="1">D4*2</f>
        <v>4</v>
      </c>
    </row>
    <row r="5" spans="1:6" ht="18" x14ac:dyDescent="0.25">
      <c r="A5" t="s">
        <v>26</v>
      </c>
      <c r="B5">
        <v>2</v>
      </c>
      <c r="C5">
        <v>164.08799999999999</v>
      </c>
      <c r="D5">
        <v>2</v>
      </c>
      <c r="E5" s="9">
        <f t="shared" si="0"/>
        <v>656.35199999999998</v>
      </c>
      <c r="F5">
        <f t="shared" si="1"/>
        <v>4</v>
      </c>
    </row>
    <row r="6" spans="1:6" ht="18" x14ac:dyDescent="0.25">
      <c r="A6" t="s">
        <v>27</v>
      </c>
      <c r="B6">
        <v>1</v>
      </c>
      <c r="C6">
        <v>80.043000000000006</v>
      </c>
      <c r="D6">
        <v>0.5</v>
      </c>
      <c r="E6" s="9">
        <f>(C6*1000)/(1000/(B6*D6))</f>
        <v>40.021500000000003</v>
      </c>
      <c r="F6">
        <f t="shared" si="1"/>
        <v>1</v>
      </c>
    </row>
    <row r="7" spans="1:6" x14ac:dyDescent="0.2">
      <c r="F7">
        <f t="shared" si="1"/>
        <v>0</v>
      </c>
    </row>
    <row r="8" spans="1:6" x14ac:dyDescent="0.2">
      <c r="A8" s="8" t="s">
        <v>28</v>
      </c>
      <c r="F8">
        <f t="shared" si="1"/>
        <v>0</v>
      </c>
    </row>
    <row r="9" spans="1:6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e">
        <f t="shared" si="1"/>
        <v>#VALUE!</v>
      </c>
    </row>
    <row r="10" spans="1:6" ht="18" x14ac:dyDescent="0.25">
      <c r="A10" t="s">
        <v>29</v>
      </c>
      <c r="B10">
        <v>1</v>
      </c>
      <c r="C10">
        <v>136.08600000000001</v>
      </c>
      <c r="D10">
        <v>0</v>
      </c>
      <c r="E10" s="9">
        <v>0</v>
      </c>
      <c r="F10">
        <f t="shared" si="1"/>
        <v>0</v>
      </c>
    </row>
    <row r="11" spans="1:6" x14ac:dyDescent="0.2">
      <c r="A11" t="s">
        <v>30</v>
      </c>
      <c r="B11">
        <v>1</v>
      </c>
      <c r="C11">
        <v>74.555000000000007</v>
      </c>
      <c r="D11">
        <v>0</v>
      </c>
      <c r="E11" s="9">
        <v>0</v>
      </c>
      <c r="F11">
        <f t="shared" si="1"/>
        <v>0</v>
      </c>
    </row>
    <row r="12" spans="1:6" ht="18" x14ac:dyDescent="0.25">
      <c r="A12" t="s">
        <v>31</v>
      </c>
      <c r="B12">
        <v>1</v>
      </c>
      <c r="C12">
        <v>100.087</v>
      </c>
      <c r="D12">
        <v>0</v>
      </c>
      <c r="E12" s="9">
        <v>0</v>
      </c>
      <c r="F12">
        <f t="shared" si="1"/>
        <v>0</v>
      </c>
    </row>
    <row r="13" spans="1:6" ht="18" x14ac:dyDescent="0.25">
      <c r="A13" t="s">
        <v>32</v>
      </c>
      <c r="B13">
        <v>2</v>
      </c>
      <c r="C13">
        <v>246.48</v>
      </c>
      <c r="D13">
        <v>1</v>
      </c>
      <c r="E13" s="9">
        <f t="shared" ref="E13:E15" si="2">(C13*1000)/(1000/(B13*D13))</f>
        <v>492.96</v>
      </c>
      <c r="F13">
        <f t="shared" si="1"/>
        <v>2</v>
      </c>
    </row>
    <row r="14" spans="1:6" x14ac:dyDescent="0.2">
      <c r="A14" t="s">
        <v>33</v>
      </c>
      <c r="B14">
        <v>1</v>
      </c>
      <c r="D14">
        <v>1</v>
      </c>
      <c r="E14" s="9"/>
      <c r="F14">
        <f t="shared" si="1"/>
        <v>2</v>
      </c>
    </row>
    <row r="15" spans="1:6" x14ac:dyDescent="0.2">
      <c r="A15" t="s">
        <v>34</v>
      </c>
      <c r="B15">
        <v>1</v>
      </c>
      <c r="D15">
        <v>1</v>
      </c>
      <c r="E15" s="9">
        <f t="shared" si="2"/>
        <v>0</v>
      </c>
      <c r="F15">
        <f t="shared" si="1"/>
        <v>2</v>
      </c>
    </row>
    <row r="17" spans="1:5" x14ac:dyDescent="0.2">
      <c r="A17" s="8" t="s">
        <v>35</v>
      </c>
    </row>
    <row r="18" spans="1:5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</row>
    <row r="19" spans="1:5" ht="18" x14ac:dyDescent="0.25">
      <c r="A19" t="s">
        <v>37</v>
      </c>
      <c r="B19">
        <v>1</v>
      </c>
      <c r="C19">
        <v>14.006</v>
      </c>
      <c r="D19">
        <f>D3</f>
        <v>2</v>
      </c>
      <c r="E19" s="9">
        <f>(C19*1000)/(1000/(B19*D19))</f>
        <v>28.012</v>
      </c>
    </row>
    <row r="20" spans="1:5" ht="18" x14ac:dyDescent="0.25">
      <c r="A20" t="s">
        <v>38</v>
      </c>
      <c r="B20">
        <v>1</v>
      </c>
      <c r="C20">
        <v>30.973700000000001</v>
      </c>
      <c r="D20">
        <f>D3</f>
        <v>2</v>
      </c>
      <c r="E20" s="9">
        <f t="shared" ref="E20:E25" si="3">(C20*1000)/(1000/(B20*D20))</f>
        <v>61.947400000000002</v>
      </c>
    </row>
    <row r="21" spans="1:5" ht="18" x14ac:dyDescent="0.25">
      <c r="A21" t="s">
        <v>39</v>
      </c>
      <c r="B21">
        <v>2</v>
      </c>
      <c r="C21">
        <v>39.094299999999997</v>
      </c>
      <c r="D21">
        <f>D4</f>
        <v>2</v>
      </c>
      <c r="E21" s="9">
        <f t="shared" si="3"/>
        <v>156.37719999999999</v>
      </c>
    </row>
    <row r="22" spans="1:5" ht="18" x14ac:dyDescent="0.25">
      <c r="A22" t="s">
        <v>40</v>
      </c>
      <c r="B22">
        <v>2</v>
      </c>
      <c r="C22">
        <v>14.006</v>
      </c>
      <c r="D22">
        <f>D4</f>
        <v>2</v>
      </c>
      <c r="E22" s="9">
        <f t="shared" si="3"/>
        <v>56.024000000000001</v>
      </c>
    </row>
    <row r="23" spans="1:5" ht="18" x14ac:dyDescent="0.25">
      <c r="A23" t="s">
        <v>41</v>
      </c>
      <c r="B23">
        <v>2</v>
      </c>
      <c r="C23">
        <v>40.078000000000003</v>
      </c>
      <c r="D23">
        <f>D5</f>
        <v>2</v>
      </c>
      <c r="E23" s="9">
        <f t="shared" si="3"/>
        <v>160.31200000000001</v>
      </c>
    </row>
    <row r="24" spans="1:5" ht="18" x14ac:dyDescent="0.25">
      <c r="A24" t="s">
        <v>42</v>
      </c>
      <c r="B24">
        <v>2</v>
      </c>
      <c r="C24">
        <v>28.012</v>
      </c>
      <c r="D24">
        <f>D5</f>
        <v>2</v>
      </c>
      <c r="E24" s="9">
        <f t="shared" si="3"/>
        <v>112.048</v>
      </c>
    </row>
    <row r="25" spans="1:5" ht="18" x14ac:dyDescent="0.25">
      <c r="A25" t="s">
        <v>43</v>
      </c>
      <c r="B25">
        <v>1</v>
      </c>
      <c r="C25">
        <v>28.012</v>
      </c>
      <c r="D25">
        <f>D6</f>
        <v>0.5</v>
      </c>
      <c r="E25" s="9">
        <f t="shared" si="3"/>
        <v>14.006</v>
      </c>
    </row>
    <row r="26" spans="1:5" ht="18" x14ac:dyDescent="0.25">
      <c r="A26" t="s">
        <v>44</v>
      </c>
      <c r="B26">
        <v>1</v>
      </c>
      <c r="C26">
        <v>39.094299999999997</v>
      </c>
      <c r="D26">
        <f>D10</f>
        <v>0</v>
      </c>
      <c r="E26" s="9">
        <v>0</v>
      </c>
    </row>
    <row r="27" spans="1:5" ht="18" x14ac:dyDescent="0.25">
      <c r="A27" t="s">
        <v>45</v>
      </c>
      <c r="B27">
        <v>1</v>
      </c>
      <c r="C27">
        <v>30.973700000000001</v>
      </c>
      <c r="D27">
        <f>D10</f>
        <v>0</v>
      </c>
      <c r="E27" s="9">
        <v>0</v>
      </c>
    </row>
    <row r="28" spans="1:5" x14ac:dyDescent="0.2">
      <c r="A28" t="s">
        <v>46</v>
      </c>
      <c r="B28">
        <v>1</v>
      </c>
      <c r="C28">
        <v>39.094299999999997</v>
      </c>
      <c r="D28">
        <f>D11</f>
        <v>0</v>
      </c>
      <c r="E28" s="9">
        <v>0</v>
      </c>
    </row>
    <row r="29" spans="1:5" x14ac:dyDescent="0.2">
      <c r="A29" t="s">
        <v>47</v>
      </c>
      <c r="B29">
        <v>1</v>
      </c>
      <c r="C29">
        <v>35.453000000000003</v>
      </c>
      <c r="D29">
        <f>D11</f>
        <v>0</v>
      </c>
      <c r="E29" s="9">
        <v>0</v>
      </c>
    </row>
    <row r="30" spans="1:5" ht="18" x14ac:dyDescent="0.25">
      <c r="A30" t="s">
        <v>48</v>
      </c>
      <c r="B30">
        <v>1</v>
      </c>
      <c r="C30">
        <v>40.078000000000003</v>
      </c>
      <c r="D30">
        <f>D12</f>
        <v>0</v>
      </c>
      <c r="E30" s="9">
        <v>0</v>
      </c>
    </row>
    <row r="31" spans="1:5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ref="E31:E32" si="4">(C31*1000)/(1000/(B31*D31))</f>
        <v>48.61</v>
      </c>
    </row>
    <row r="32" spans="1:5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4"/>
        <v>64.13</v>
      </c>
    </row>
    <row r="33" spans="1:5" ht="17" thickBot="1" x14ac:dyDescent="0.25">
      <c r="E33" s="9"/>
    </row>
    <row r="34" spans="1:5" x14ac:dyDescent="0.2">
      <c r="A34" s="8" t="s">
        <v>51</v>
      </c>
      <c r="C34" s="11" t="s">
        <v>59</v>
      </c>
      <c r="D34" s="12"/>
      <c r="E34" s="9"/>
    </row>
    <row r="35" spans="1:5" ht="17" thickBot="1" x14ac:dyDescent="0.25">
      <c r="A35" t="s">
        <v>52</v>
      </c>
      <c r="B35" t="s">
        <v>23</v>
      </c>
      <c r="C35" s="13" t="s">
        <v>60</v>
      </c>
      <c r="D35" s="14" t="s">
        <v>23</v>
      </c>
    </row>
    <row r="36" spans="1:5" x14ac:dyDescent="0.2">
      <c r="A36" t="s">
        <v>53</v>
      </c>
      <c r="B36" s="9">
        <f>SUM(E19,E22,E24,E25)</f>
        <v>210.09</v>
      </c>
      <c r="C36" s="15" t="s">
        <v>53</v>
      </c>
      <c r="D36" s="16">
        <v>210.09</v>
      </c>
    </row>
    <row r="37" spans="1:5" x14ac:dyDescent="0.2">
      <c r="A37" t="s">
        <v>54</v>
      </c>
      <c r="B37" s="9">
        <f>SUM(E20,E27)</f>
        <v>61.947400000000002</v>
      </c>
      <c r="C37" s="10" t="s">
        <v>54</v>
      </c>
      <c r="D37" s="17">
        <v>30.973700000000001</v>
      </c>
    </row>
    <row r="38" spans="1:5" x14ac:dyDescent="0.2">
      <c r="A38" t="s">
        <v>55</v>
      </c>
      <c r="B38" s="9">
        <f>SUM(E21,E26,E28)</f>
        <v>156.37719999999999</v>
      </c>
      <c r="C38" s="10" t="s">
        <v>55</v>
      </c>
      <c r="D38" s="17">
        <v>156.37719999999999</v>
      </c>
    </row>
    <row r="39" spans="1:5" x14ac:dyDescent="0.2">
      <c r="A39" t="s">
        <v>56</v>
      </c>
      <c r="B39" s="9">
        <f>E30+E23</f>
        <v>160.31200000000001</v>
      </c>
      <c r="C39" s="10" t="s">
        <v>56</v>
      </c>
      <c r="D39" s="17">
        <v>160.31200000000001</v>
      </c>
    </row>
    <row r="40" spans="1:5" x14ac:dyDescent="0.2">
      <c r="A40" t="s">
        <v>57</v>
      </c>
      <c r="B40" s="9">
        <f>E31</f>
        <v>48.61</v>
      </c>
      <c r="C40" s="10" t="s">
        <v>57</v>
      </c>
      <c r="D40" s="17">
        <v>48.61</v>
      </c>
    </row>
    <row r="41" spans="1:5" x14ac:dyDescent="0.2">
      <c r="A41" t="s">
        <v>58</v>
      </c>
      <c r="B41" s="9">
        <f>E32</f>
        <v>64.13</v>
      </c>
      <c r="C41" s="10" t="s">
        <v>58</v>
      </c>
      <c r="D41" s="17">
        <v>64.13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9455-23E4-0843-B935-AE858235A388}">
  <dimension ref="A1:F41"/>
  <sheetViews>
    <sheetView tabSelected="1" zoomScale="228" zoomScaleNormal="228" workbookViewId="0">
      <selection activeCell="F3" sqref="F3:F15"/>
    </sheetView>
  </sheetViews>
  <sheetFormatPr baseColWidth="10" defaultRowHeight="16" x14ac:dyDescent="0.2"/>
  <cols>
    <col min="1" max="1" width="30.6640625" bestFit="1" customWidth="1"/>
  </cols>
  <sheetData>
    <row r="1" spans="1:6" x14ac:dyDescent="0.2">
      <c r="A1" s="8" t="s">
        <v>18</v>
      </c>
      <c r="B1" s="8"/>
    </row>
    <row r="2" spans="1:6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</row>
    <row r="3" spans="1:6" ht="18" x14ac:dyDescent="0.25">
      <c r="A3" t="s">
        <v>24</v>
      </c>
      <c r="B3">
        <v>1</v>
      </c>
      <c r="C3">
        <v>115.3</v>
      </c>
      <c r="D3">
        <v>3</v>
      </c>
      <c r="E3" s="9">
        <f>(C3*1000)/(1000/(B3*D3))</f>
        <v>345.90000000000003</v>
      </c>
      <c r="F3" t="s">
        <v>61</v>
      </c>
    </row>
    <row r="4" spans="1:6" ht="18" x14ac:dyDescent="0.25">
      <c r="A4" t="s">
        <v>25</v>
      </c>
      <c r="B4">
        <v>2</v>
      </c>
      <c r="C4">
        <v>101.1</v>
      </c>
      <c r="D4">
        <v>2</v>
      </c>
      <c r="E4" s="9">
        <f t="shared" ref="E4:E5" si="0">(C4*1000)/(1000/(B4*D4))</f>
        <v>404.4</v>
      </c>
      <c r="F4">
        <f t="shared" ref="F4:F15" si="1">D4*2</f>
        <v>4</v>
      </c>
    </row>
    <row r="5" spans="1:6" ht="18" x14ac:dyDescent="0.25">
      <c r="A5" t="s">
        <v>26</v>
      </c>
      <c r="B5">
        <v>2</v>
      </c>
      <c r="C5">
        <v>164.08799999999999</v>
      </c>
      <c r="D5">
        <v>2</v>
      </c>
      <c r="E5" s="9">
        <f t="shared" si="0"/>
        <v>656.35199999999998</v>
      </c>
      <c r="F5">
        <f t="shared" si="1"/>
        <v>4</v>
      </c>
    </row>
    <row r="6" spans="1:6" ht="18" x14ac:dyDescent="0.25">
      <c r="A6" t="s">
        <v>27</v>
      </c>
      <c r="B6">
        <v>1</v>
      </c>
      <c r="C6">
        <v>80.043000000000006</v>
      </c>
      <c r="D6">
        <v>0</v>
      </c>
      <c r="E6" s="9">
        <v>0</v>
      </c>
      <c r="F6">
        <f t="shared" si="1"/>
        <v>0</v>
      </c>
    </row>
    <row r="7" spans="1:6" x14ac:dyDescent="0.2">
      <c r="F7">
        <f t="shared" si="1"/>
        <v>0</v>
      </c>
    </row>
    <row r="8" spans="1:6" x14ac:dyDescent="0.2">
      <c r="A8" s="8" t="s">
        <v>28</v>
      </c>
      <c r="F8">
        <f t="shared" si="1"/>
        <v>0</v>
      </c>
    </row>
    <row r="9" spans="1:6" x14ac:dyDescent="0.2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e">
        <f t="shared" si="1"/>
        <v>#VALUE!</v>
      </c>
    </row>
    <row r="10" spans="1:6" ht="18" x14ac:dyDescent="0.25">
      <c r="A10" t="s">
        <v>29</v>
      </c>
      <c r="B10">
        <v>1</v>
      </c>
      <c r="C10">
        <v>136.08600000000001</v>
      </c>
      <c r="D10">
        <v>0</v>
      </c>
      <c r="E10" s="9">
        <v>0</v>
      </c>
      <c r="F10">
        <f t="shared" si="1"/>
        <v>0</v>
      </c>
    </row>
    <row r="11" spans="1:6" x14ac:dyDescent="0.2">
      <c r="A11" t="s">
        <v>30</v>
      </c>
      <c r="B11">
        <v>1</v>
      </c>
      <c r="C11">
        <v>74.555000000000007</v>
      </c>
      <c r="D11">
        <v>0</v>
      </c>
      <c r="E11" s="9">
        <v>0</v>
      </c>
      <c r="F11">
        <f t="shared" si="1"/>
        <v>0</v>
      </c>
    </row>
    <row r="12" spans="1:6" ht="18" x14ac:dyDescent="0.25">
      <c r="A12" t="s">
        <v>31</v>
      </c>
      <c r="B12">
        <v>1</v>
      </c>
      <c r="C12">
        <v>100.087</v>
      </c>
      <c r="D12">
        <v>0</v>
      </c>
      <c r="E12" s="9">
        <v>0</v>
      </c>
      <c r="F12">
        <f t="shared" si="1"/>
        <v>0</v>
      </c>
    </row>
    <row r="13" spans="1:6" ht="18" x14ac:dyDescent="0.25">
      <c r="A13" t="s">
        <v>32</v>
      </c>
      <c r="B13">
        <v>2</v>
      </c>
      <c r="C13">
        <v>246.48</v>
      </c>
      <c r="D13">
        <v>1</v>
      </c>
      <c r="E13" s="9">
        <f t="shared" ref="E13:E15" si="2">(C13*1000)/(1000/(B13*D13))</f>
        <v>492.96</v>
      </c>
      <c r="F13">
        <f t="shared" si="1"/>
        <v>2</v>
      </c>
    </row>
    <row r="14" spans="1:6" x14ac:dyDescent="0.2">
      <c r="A14" t="s">
        <v>33</v>
      </c>
      <c r="B14">
        <v>1</v>
      </c>
      <c r="D14">
        <v>1</v>
      </c>
      <c r="E14" s="9"/>
      <c r="F14">
        <f t="shared" si="1"/>
        <v>2</v>
      </c>
    </row>
    <row r="15" spans="1:6" x14ac:dyDescent="0.2">
      <c r="A15" t="s">
        <v>34</v>
      </c>
      <c r="B15">
        <v>1</v>
      </c>
      <c r="D15">
        <v>1</v>
      </c>
      <c r="E15" s="9">
        <f t="shared" si="2"/>
        <v>0</v>
      </c>
      <c r="F15">
        <f t="shared" si="1"/>
        <v>2</v>
      </c>
    </row>
    <row r="17" spans="1:5" x14ac:dyDescent="0.2">
      <c r="A17" s="8" t="s">
        <v>35</v>
      </c>
    </row>
    <row r="18" spans="1:5" x14ac:dyDescent="0.2">
      <c r="A18" t="s">
        <v>36</v>
      </c>
      <c r="B18" t="s">
        <v>20</v>
      </c>
      <c r="C18" t="s">
        <v>21</v>
      </c>
      <c r="D18" t="s">
        <v>22</v>
      </c>
      <c r="E18" t="s">
        <v>23</v>
      </c>
    </row>
    <row r="19" spans="1:5" ht="18" x14ac:dyDescent="0.25">
      <c r="A19" t="s">
        <v>37</v>
      </c>
      <c r="B19">
        <v>1</v>
      </c>
      <c r="C19">
        <v>14.006</v>
      </c>
      <c r="D19">
        <f>D3</f>
        <v>3</v>
      </c>
      <c r="E19" s="9">
        <f>(C19*1000)/(1000/(B19*D19))</f>
        <v>42.018000000000001</v>
      </c>
    </row>
    <row r="20" spans="1:5" ht="18" x14ac:dyDescent="0.25">
      <c r="A20" t="s">
        <v>38</v>
      </c>
      <c r="B20">
        <v>1</v>
      </c>
      <c r="C20">
        <v>30.973700000000001</v>
      </c>
      <c r="D20">
        <f>D3</f>
        <v>3</v>
      </c>
      <c r="E20" s="9">
        <f t="shared" ref="E20:E24" si="3">(C20*1000)/(1000/(B20*D20))</f>
        <v>92.92110000000001</v>
      </c>
    </row>
    <row r="21" spans="1:5" ht="18" x14ac:dyDescent="0.25">
      <c r="A21" t="s">
        <v>39</v>
      </c>
      <c r="B21">
        <v>2</v>
      </c>
      <c r="C21">
        <v>39.094299999999997</v>
      </c>
      <c r="D21">
        <f>D4</f>
        <v>2</v>
      </c>
      <c r="E21" s="9">
        <f t="shared" si="3"/>
        <v>156.37719999999999</v>
      </c>
    </row>
    <row r="22" spans="1:5" ht="18" x14ac:dyDescent="0.25">
      <c r="A22" t="s">
        <v>40</v>
      </c>
      <c r="B22">
        <v>2</v>
      </c>
      <c r="C22">
        <v>14.006</v>
      </c>
      <c r="D22">
        <f>D4</f>
        <v>2</v>
      </c>
      <c r="E22" s="9">
        <f t="shared" si="3"/>
        <v>56.024000000000001</v>
      </c>
    </row>
    <row r="23" spans="1:5" ht="18" x14ac:dyDescent="0.25">
      <c r="A23" t="s">
        <v>41</v>
      </c>
      <c r="B23">
        <v>2</v>
      </c>
      <c r="C23">
        <v>40.078000000000003</v>
      </c>
      <c r="D23">
        <f>D5</f>
        <v>2</v>
      </c>
      <c r="E23" s="9">
        <f t="shared" si="3"/>
        <v>160.31200000000001</v>
      </c>
    </row>
    <row r="24" spans="1:5" ht="18" x14ac:dyDescent="0.25">
      <c r="A24" t="s">
        <v>42</v>
      </c>
      <c r="B24">
        <v>2</v>
      </c>
      <c r="C24">
        <v>28.012</v>
      </c>
      <c r="D24">
        <f>D5</f>
        <v>2</v>
      </c>
      <c r="E24" s="9">
        <f t="shared" si="3"/>
        <v>112.048</v>
      </c>
    </row>
    <row r="25" spans="1:5" ht="18" x14ac:dyDescent="0.25">
      <c r="A25" t="s">
        <v>43</v>
      </c>
      <c r="B25">
        <v>1</v>
      </c>
      <c r="C25">
        <v>28.012</v>
      </c>
      <c r="D25">
        <f>D6</f>
        <v>0</v>
      </c>
      <c r="E25" s="9">
        <v>0</v>
      </c>
    </row>
    <row r="26" spans="1:5" ht="18" x14ac:dyDescent="0.25">
      <c r="A26" t="s">
        <v>44</v>
      </c>
      <c r="B26">
        <v>1</v>
      </c>
      <c r="C26">
        <v>39.094299999999997</v>
      </c>
      <c r="D26">
        <f>D10</f>
        <v>0</v>
      </c>
      <c r="E26" s="9">
        <v>0</v>
      </c>
    </row>
    <row r="27" spans="1:5" ht="18" x14ac:dyDescent="0.25">
      <c r="A27" t="s">
        <v>45</v>
      </c>
      <c r="B27">
        <v>1</v>
      </c>
      <c r="C27">
        <v>30.973700000000001</v>
      </c>
      <c r="D27">
        <f>D10</f>
        <v>0</v>
      </c>
      <c r="E27" s="9">
        <v>0</v>
      </c>
    </row>
    <row r="28" spans="1:5" x14ac:dyDescent="0.2">
      <c r="A28" t="s">
        <v>46</v>
      </c>
      <c r="B28">
        <v>1</v>
      </c>
      <c r="C28">
        <v>39.094299999999997</v>
      </c>
      <c r="D28">
        <f>D11</f>
        <v>0</v>
      </c>
      <c r="E28" s="9">
        <v>0</v>
      </c>
    </row>
    <row r="29" spans="1:5" x14ac:dyDescent="0.2">
      <c r="A29" t="s">
        <v>47</v>
      </c>
      <c r="B29">
        <v>1</v>
      </c>
      <c r="C29">
        <v>35.453000000000003</v>
      </c>
      <c r="D29">
        <f>D11</f>
        <v>0</v>
      </c>
      <c r="E29" s="9">
        <v>0</v>
      </c>
    </row>
    <row r="30" spans="1:5" ht="18" x14ac:dyDescent="0.25">
      <c r="A30" t="s">
        <v>48</v>
      </c>
      <c r="B30">
        <v>1</v>
      </c>
      <c r="C30">
        <v>40.078000000000003</v>
      </c>
      <c r="D30">
        <f>D12</f>
        <v>0</v>
      </c>
      <c r="E30" s="9">
        <v>0</v>
      </c>
    </row>
    <row r="31" spans="1:5" ht="18" x14ac:dyDescent="0.25">
      <c r="A31" t="s">
        <v>49</v>
      </c>
      <c r="B31">
        <v>2</v>
      </c>
      <c r="C31">
        <v>24.305</v>
      </c>
      <c r="D31">
        <f>D13</f>
        <v>1</v>
      </c>
      <c r="E31" s="9">
        <f t="shared" ref="E31:E32" si="4">(C31*1000)/(1000/(B31*D31))</f>
        <v>48.61</v>
      </c>
    </row>
    <row r="32" spans="1:5" ht="18" x14ac:dyDescent="0.25">
      <c r="A32" t="s">
        <v>50</v>
      </c>
      <c r="B32">
        <v>2</v>
      </c>
      <c r="C32">
        <v>32.064999999999998</v>
      </c>
      <c r="D32">
        <f>D13</f>
        <v>1</v>
      </c>
      <c r="E32" s="9">
        <f t="shared" si="4"/>
        <v>64.13</v>
      </c>
    </row>
    <row r="33" spans="1:5" ht="17" thickBot="1" x14ac:dyDescent="0.25">
      <c r="E33" s="9"/>
    </row>
    <row r="34" spans="1:5" x14ac:dyDescent="0.2">
      <c r="A34" s="8" t="s">
        <v>51</v>
      </c>
      <c r="C34" s="11" t="s">
        <v>59</v>
      </c>
      <c r="D34" s="12"/>
      <c r="E34" s="9"/>
    </row>
    <row r="35" spans="1:5" ht="17" thickBot="1" x14ac:dyDescent="0.25">
      <c r="A35" t="s">
        <v>52</v>
      </c>
      <c r="B35" t="s">
        <v>23</v>
      </c>
      <c r="C35" s="13" t="s">
        <v>60</v>
      </c>
      <c r="D35" s="14" t="s">
        <v>23</v>
      </c>
    </row>
    <row r="36" spans="1:5" x14ac:dyDescent="0.2">
      <c r="A36" t="s">
        <v>53</v>
      </c>
      <c r="B36" s="9">
        <f>SUM(E19,E22,E24,E25)</f>
        <v>210.09</v>
      </c>
      <c r="C36" s="15" t="s">
        <v>53</v>
      </c>
      <c r="D36" s="16">
        <v>210.09</v>
      </c>
    </row>
    <row r="37" spans="1:5" x14ac:dyDescent="0.2">
      <c r="A37" t="s">
        <v>54</v>
      </c>
      <c r="B37" s="9">
        <f>SUM(E20,E27)</f>
        <v>92.92110000000001</v>
      </c>
      <c r="C37" s="10" t="s">
        <v>54</v>
      </c>
      <c r="D37" s="17">
        <v>30.973700000000001</v>
      </c>
    </row>
    <row r="38" spans="1:5" x14ac:dyDescent="0.2">
      <c r="A38" t="s">
        <v>55</v>
      </c>
      <c r="B38" s="9">
        <f>SUM(E21,E26,E28)</f>
        <v>156.37719999999999</v>
      </c>
      <c r="C38" s="10" t="s">
        <v>55</v>
      </c>
      <c r="D38" s="17">
        <v>156.37719999999999</v>
      </c>
    </row>
    <row r="39" spans="1:5" x14ac:dyDescent="0.2">
      <c r="A39" t="s">
        <v>56</v>
      </c>
      <c r="B39" s="9">
        <f>E30+E23</f>
        <v>160.31200000000001</v>
      </c>
      <c r="C39" s="10" t="s">
        <v>56</v>
      </c>
      <c r="D39" s="17">
        <v>160.31200000000001</v>
      </c>
    </row>
    <row r="40" spans="1:5" x14ac:dyDescent="0.2">
      <c r="A40" t="s">
        <v>57</v>
      </c>
      <c r="B40" s="9">
        <f>E31</f>
        <v>48.61</v>
      </c>
      <c r="C40" s="10" t="s">
        <v>57</v>
      </c>
      <c r="D40" s="17">
        <v>48.61</v>
      </c>
    </row>
    <row r="41" spans="1:5" x14ac:dyDescent="0.2">
      <c r="A41" t="s">
        <v>58</v>
      </c>
      <c r="B41" s="9">
        <f>E32</f>
        <v>64.13</v>
      </c>
      <c r="C41" s="10" t="s">
        <v>58</v>
      </c>
      <c r="D41" s="17">
        <v>64.13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Stock solutions</vt:lpstr>
      <vt:lpstr>210 ppm N, 0 ppm P</vt:lpstr>
      <vt:lpstr>210 ppm N, 7.5 ppm P</vt:lpstr>
      <vt:lpstr>210 ppm N, 15 ppm P</vt:lpstr>
      <vt:lpstr>210 ppm N, 31 ppm P</vt:lpstr>
      <vt:lpstr>210 ppm N, 62 ppm P</vt:lpstr>
      <vt:lpstr>210 ppm N, 93 ppm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dcterms:created xsi:type="dcterms:W3CDTF">2026-03-27T18:15:30Z</dcterms:created>
  <dcterms:modified xsi:type="dcterms:W3CDTF">2026-04-05T14:46:53Z</dcterms:modified>
</cp:coreProperties>
</file>